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onarx\Desktop\ForRaphi&amp;Jörg\"/>
    </mc:Choice>
  </mc:AlternateContent>
  <xr:revisionPtr revIDLastSave="0" documentId="13_ncr:1_{BED50146-523B-4512-9C2D-0DC7AB0D6D4B}" xr6:coauthVersionLast="47" xr6:coauthVersionMax="47" xr10:uidLastSave="{00000000-0000-0000-0000-000000000000}"/>
  <bookViews>
    <workbookView xWindow="-120" yWindow="-120" windowWidth="29040" windowHeight="15840" tabRatio="768" firstSheet="2" activeTab="2" xr2:uid="{C88EB8DA-FD53-4110-91FA-CEF742F5E39D}"/>
  </bookViews>
  <sheets>
    <sheet name="Correl betwen param_HID" sheetId="41" state="hidden" r:id="rId1"/>
    <sheet name="Correl betwen param_HID1" sheetId="42" state="hidden" r:id="rId2"/>
    <sheet name="Tmp_Bariloche" sheetId="1" r:id="rId3"/>
    <sheet name="Tmp_era5_t2" sheetId="68" r:id="rId4"/>
    <sheet name="Tmp max_CRUTS" sheetId="71" r:id="rId5"/>
    <sheet name="Precip_Bariloche" sheetId="62" r:id="rId6"/>
    <sheet name="Precip_era5" sheetId="69" r:id="rId7"/>
    <sheet name="Precip_CRUTS" sheetId="70" r:id="rId8"/>
    <sheet name="scPDSI" sheetId="66" r:id="rId9"/>
    <sheet name="scPDSI_CRU" sheetId="72" r:id="rId10"/>
    <sheet name="SPEI1" sheetId="7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6" i="1" l="1"/>
  <c r="C128" i="1" l="1" a="1"/>
  <c r="C128" i="1" s="1"/>
  <c r="D128" i="1" a="1"/>
  <c r="D128" i="1" s="1"/>
  <c r="E128" i="1" a="1"/>
  <c r="E128" i="1" s="1"/>
  <c r="F128" i="1" a="1"/>
  <c r="F128" i="1" s="1"/>
  <c r="G128" i="1" a="1"/>
  <c r="G128" i="1" s="1"/>
  <c r="H128" i="1" a="1"/>
  <c r="H128" i="1" s="1"/>
  <c r="I128" i="1" a="1"/>
  <c r="I128" i="1" s="1"/>
  <c r="J128" i="1" a="1"/>
  <c r="J128" i="1" s="1"/>
  <c r="K128" i="1" a="1"/>
  <c r="K128" i="1" s="1"/>
  <c r="L128" i="1" a="1"/>
  <c r="L128" i="1" s="1"/>
  <c r="M128" i="1" a="1"/>
  <c r="M128" i="1" s="1"/>
  <c r="B128" i="1" a="1"/>
  <c r="B128" i="1" s="1"/>
  <c r="N126" i="62"/>
  <c r="B126" i="62"/>
  <c r="M127" i="62"/>
  <c r="L127" i="62"/>
  <c r="K127" i="62"/>
  <c r="J127" i="62"/>
  <c r="I127" i="62"/>
  <c r="H127" i="62"/>
  <c r="G127" i="62"/>
  <c r="F127" i="62"/>
  <c r="E127" i="62"/>
  <c r="D127" i="62"/>
  <c r="C127" i="62"/>
  <c r="B127" i="62"/>
  <c r="N127" i="62" s="1"/>
  <c r="M126" i="62"/>
  <c r="L126" i="62"/>
  <c r="K126" i="62"/>
  <c r="J126" i="62"/>
  <c r="I126" i="62"/>
  <c r="H126" i="62"/>
  <c r="G126" i="62"/>
  <c r="F126" i="62"/>
  <c r="E126" i="62"/>
  <c r="D126" i="62"/>
  <c r="C126" i="62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C127" i="1"/>
  <c r="D127" i="1"/>
  <c r="E127" i="1"/>
  <c r="F127" i="1"/>
  <c r="G127" i="1"/>
  <c r="H127" i="1"/>
  <c r="I127" i="1"/>
  <c r="J127" i="1"/>
  <c r="K127" i="1"/>
  <c r="L127" i="1"/>
  <c r="M127" i="1"/>
  <c r="B127" i="1"/>
  <c r="C126" i="1"/>
  <c r="D126" i="1"/>
  <c r="E126" i="1"/>
  <c r="F126" i="1"/>
  <c r="H126" i="1"/>
  <c r="I126" i="1"/>
  <c r="J126" i="1"/>
  <c r="K126" i="1"/>
  <c r="L126" i="1"/>
  <c r="M126" i="1"/>
  <c r="B126" i="1"/>
  <c r="S121" i="1"/>
  <c r="T121" i="1" s="1"/>
  <c r="S120" i="1"/>
  <c r="T120" i="1" s="1"/>
  <c r="S119" i="1"/>
  <c r="T119" i="1" s="1"/>
  <c r="S118" i="1"/>
  <c r="T118" i="1" s="1"/>
  <c r="S117" i="1"/>
  <c r="T117" i="1" s="1"/>
  <c r="S116" i="1"/>
  <c r="T116" i="1" s="1"/>
  <c r="S115" i="1"/>
  <c r="T115" i="1" s="1"/>
  <c r="S114" i="1"/>
  <c r="T114" i="1" s="1"/>
  <c r="S113" i="1"/>
  <c r="T113" i="1" s="1"/>
  <c r="S112" i="1"/>
  <c r="T112" i="1" s="1"/>
  <c r="S111" i="1"/>
  <c r="T111" i="1" s="1"/>
  <c r="S110" i="1"/>
  <c r="T110" i="1" s="1"/>
  <c r="S109" i="1"/>
  <c r="T109" i="1" s="1"/>
  <c r="S108" i="1"/>
  <c r="T108" i="1" s="1"/>
  <c r="S107" i="1"/>
  <c r="T107" i="1" s="1"/>
  <c r="S106" i="1"/>
  <c r="T106" i="1" s="1"/>
  <c r="S105" i="1"/>
  <c r="T105" i="1" s="1"/>
  <c r="S104" i="1"/>
  <c r="T104" i="1" s="1"/>
  <c r="S103" i="1"/>
  <c r="T103" i="1" s="1"/>
  <c r="S102" i="1"/>
  <c r="T102" i="1" s="1"/>
  <c r="S101" i="1"/>
  <c r="T101" i="1" s="1"/>
  <c r="S100" i="1"/>
  <c r="T100" i="1" s="1"/>
  <c r="S99" i="1"/>
  <c r="T99" i="1" s="1"/>
  <c r="S98" i="1"/>
  <c r="T98" i="1" s="1"/>
  <c r="S97" i="1"/>
  <c r="T97" i="1" s="1"/>
  <c r="S96" i="1"/>
  <c r="T96" i="1" s="1"/>
  <c r="S95" i="1"/>
  <c r="T95" i="1" s="1"/>
  <c r="S94" i="1"/>
  <c r="T94" i="1" s="1"/>
  <c r="S93" i="1"/>
  <c r="T93" i="1" s="1"/>
  <c r="S92" i="1"/>
  <c r="T92" i="1" s="1"/>
  <c r="S91" i="1"/>
  <c r="T91" i="1" s="1"/>
  <c r="S90" i="1"/>
  <c r="T90" i="1" s="1"/>
  <c r="S89" i="1"/>
  <c r="T89" i="1" s="1"/>
  <c r="S88" i="1"/>
  <c r="T88" i="1" s="1"/>
  <c r="S87" i="1"/>
  <c r="T87" i="1" s="1"/>
  <c r="S86" i="1"/>
  <c r="T86" i="1" s="1"/>
  <c r="S85" i="1"/>
  <c r="T85" i="1" s="1"/>
  <c r="S84" i="1"/>
  <c r="T84" i="1" s="1"/>
  <c r="S83" i="1"/>
  <c r="T83" i="1" s="1"/>
  <c r="S82" i="1"/>
  <c r="T82" i="1" s="1"/>
  <c r="S81" i="1"/>
  <c r="T81" i="1" s="1"/>
  <c r="S80" i="1"/>
  <c r="T80" i="1" s="1"/>
  <c r="S79" i="1"/>
  <c r="T79" i="1" s="1"/>
  <c r="S78" i="1"/>
  <c r="T78" i="1" s="1"/>
  <c r="S77" i="1"/>
  <c r="T77" i="1" s="1"/>
  <c r="S76" i="1"/>
  <c r="T76" i="1" s="1"/>
  <c r="S75" i="1"/>
  <c r="T75" i="1" s="1"/>
  <c r="S74" i="1"/>
  <c r="T74" i="1" s="1"/>
  <c r="S73" i="1"/>
  <c r="T73" i="1" s="1"/>
  <c r="S72" i="1"/>
  <c r="T72" i="1" s="1"/>
  <c r="S71" i="1"/>
  <c r="T71" i="1" s="1"/>
  <c r="S70" i="1"/>
  <c r="T70" i="1" s="1"/>
  <c r="S69" i="1"/>
  <c r="T69" i="1" s="1"/>
  <c r="S68" i="1"/>
  <c r="T68" i="1" s="1"/>
  <c r="S67" i="1"/>
  <c r="T67" i="1" s="1"/>
  <c r="S66" i="1"/>
  <c r="T66" i="1" s="1"/>
  <c r="S65" i="1"/>
  <c r="T65" i="1" s="1"/>
  <c r="S64" i="1"/>
  <c r="T64" i="1" s="1"/>
  <c r="S63" i="1"/>
  <c r="T63" i="1" s="1"/>
  <c r="S62" i="1"/>
  <c r="T62" i="1" s="1"/>
  <c r="S61" i="1"/>
  <c r="T61" i="1" s="1"/>
  <c r="S60" i="1"/>
  <c r="T60" i="1" s="1"/>
  <c r="S59" i="1"/>
  <c r="T59" i="1" s="1"/>
  <c r="S58" i="1"/>
  <c r="T58" i="1" s="1"/>
  <c r="S57" i="1"/>
  <c r="T57" i="1" s="1"/>
  <c r="S56" i="1"/>
  <c r="T56" i="1" s="1"/>
  <c r="S55" i="1"/>
  <c r="T55" i="1" s="1"/>
  <c r="S54" i="1"/>
  <c r="T54" i="1" s="1"/>
  <c r="S53" i="1"/>
  <c r="T53" i="1" s="1"/>
  <c r="S52" i="1"/>
  <c r="T52" i="1" s="1"/>
  <c r="S51" i="1"/>
  <c r="T51" i="1" s="1"/>
  <c r="S50" i="1"/>
  <c r="T50" i="1" s="1"/>
  <c r="S49" i="1"/>
  <c r="T49" i="1" s="1"/>
  <c r="S48" i="1"/>
  <c r="T48" i="1" s="1"/>
  <c r="S47" i="1"/>
  <c r="T47" i="1" s="1"/>
  <c r="S46" i="1"/>
  <c r="T46" i="1" s="1"/>
  <c r="S45" i="1"/>
  <c r="T45" i="1" s="1"/>
  <c r="S44" i="1"/>
  <c r="T44" i="1" s="1"/>
  <c r="S43" i="1"/>
  <c r="T43" i="1" s="1"/>
  <c r="S42" i="1"/>
  <c r="T42" i="1" s="1"/>
  <c r="S41" i="1"/>
  <c r="T41" i="1" s="1"/>
  <c r="S40" i="1"/>
  <c r="T40" i="1" s="1"/>
  <c r="S39" i="1"/>
  <c r="T39" i="1" s="1"/>
  <c r="S38" i="1"/>
  <c r="T38" i="1" s="1"/>
  <c r="S37" i="1"/>
  <c r="T37" i="1" s="1"/>
  <c r="S36" i="1"/>
  <c r="T36" i="1" s="1"/>
  <c r="S35" i="1"/>
  <c r="T35" i="1" s="1"/>
  <c r="S34" i="1"/>
  <c r="T34" i="1" s="1"/>
  <c r="S33" i="1"/>
  <c r="T33" i="1" s="1"/>
  <c r="S32" i="1"/>
  <c r="T32" i="1" s="1"/>
  <c r="T126" i="1" s="1"/>
  <c r="R117" i="1"/>
  <c r="T128" i="1" l="1" a="1"/>
  <c r="T128" i="1" s="1"/>
  <c r="T127" i="1"/>
  <c r="S128" i="1" a="1"/>
  <c r="S128" i="1" s="1"/>
  <c r="S127" i="1"/>
  <c r="U126" i="1"/>
  <c r="S126" i="1"/>
  <c r="U128" i="1" a="1"/>
  <c r="U128" i="1" s="1"/>
  <c r="U127" i="1"/>
  <c r="R32" i="1"/>
  <c r="Q32" i="1"/>
  <c r="N32" i="1"/>
  <c r="R3" i="1"/>
  <c r="Q3" i="1"/>
  <c r="P3" i="1"/>
  <c r="N3" i="1"/>
  <c r="Q121" i="1"/>
  <c r="R122" i="1"/>
  <c r="R121" i="1"/>
  <c r="R120" i="1"/>
  <c r="R119" i="1"/>
  <c r="R118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Q123" i="73"/>
  <c r="P123" i="73"/>
  <c r="O123" i="73"/>
  <c r="N123" i="73"/>
  <c r="Q122" i="73"/>
  <c r="P122" i="73"/>
  <c r="O122" i="73"/>
  <c r="N122" i="73"/>
  <c r="Q121" i="73"/>
  <c r="P121" i="73"/>
  <c r="O121" i="73"/>
  <c r="N121" i="73"/>
  <c r="Q120" i="73"/>
  <c r="P120" i="73"/>
  <c r="O120" i="73"/>
  <c r="N120" i="73"/>
  <c r="Q119" i="73"/>
  <c r="P119" i="73"/>
  <c r="O119" i="73"/>
  <c r="N119" i="73"/>
  <c r="Q118" i="73"/>
  <c r="P118" i="73"/>
  <c r="O118" i="73"/>
  <c r="N118" i="73"/>
  <c r="Q117" i="73"/>
  <c r="P117" i="73"/>
  <c r="O117" i="73"/>
  <c r="N117" i="73"/>
  <c r="Q116" i="73"/>
  <c r="P116" i="73"/>
  <c r="O116" i="73"/>
  <c r="N116" i="73"/>
  <c r="Q115" i="73"/>
  <c r="P115" i="73"/>
  <c r="O115" i="73"/>
  <c r="N115" i="73"/>
  <c r="Q114" i="73"/>
  <c r="P114" i="73"/>
  <c r="O114" i="73"/>
  <c r="N114" i="73"/>
  <c r="Q113" i="73"/>
  <c r="P113" i="73"/>
  <c r="O113" i="73"/>
  <c r="N113" i="73"/>
  <c r="Q112" i="73"/>
  <c r="P112" i="73"/>
  <c r="O112" i="73"/>
  <c r="N112" i="73"/>
  <c r="Q111" i="73"/>
  <c r="P111" i="73"/>
  <c r="O111" i="73"/>
  <c r="N111" i="73"/>
  <c r="Q110" i="73"/>
  <c r="P110" i="73"/>
  <c r="O110" i="73"/>
  <c r="N110" i="73"/>
  <c r="Q109" i="73"/>
  <c r="P109" i="73"/>
  <c r="O109" i="73"/>
  <c r="N109" i="73"/>
  <c r="Q108" i="73"/>
  <c r="P108" i="73"/>
  <c r="O108" i="73"/>
  <c r="N108" i="73"/>
  <c r="Q107" i="73"/>
  <c r="P107" i="73"/>
  <c r="O107" i="73"/>
  <c r="N107" i="73"/>
  <c r="Q106" i="73"/>
  <c r="P106" i="73"/>
  <c r="O106" i="73"/>
  <c r="N106" i="73"/>
  <c r="Q105" i="73"/>
  <c r="P105" i="73"/>
  <c r="O105" i="73"/>
  <c r="N105" i="73"/>
  <c r="Q104" i="73"/>
  <c r="P104" i="73"/>
  <c r="O104" i="73"/>
  <c r="N104" i="73"/>
  <c r="Q103" i="73"/>
  <c r="P103" i="73"/>
  <c r="O103" i="73"/>
  <c r="N103" i="73"/>
  <c r="Q102" i="73"/>
  <c r="P102" i="73"/>
  <c r="O102" i="73"/>
  <c r="N102" i="73"/>
  <c r="Q101" i="73"/>
  <c r="P101" i="73"/>
  <c r="O101" i="73"/>
  <c r="N101" i="73"/>
  <c r="Q100" i="73"/>
  <c r="P100" i="73"/>
  <c r="O100" i="73"/>
  <c r="N100" i="73"/>
  <c r="Q99" i="73"/>
  <c r="P99" i="73"/>
  <c r="O99" i="73"/>
  <c r="N99" i="73"/>
  <c r="Q98" i="73"/>
  <c r="P98" i="73"/>
  <c r="O98" i="73"/>
  <c r="N98" i="73"/>
  <c r="Q97" i="73"/>
  <c r="P97" i="73"/>
  <c r="O97" i="73"/>
  <c r="N97" i="73"/>
  <c r="Q96" i="73"/>
  <c r="P96" i="73"/>
  <c r="O96" i="73"/>
  <c r="N96" i="73"/>
  <c r="Q95" i="73"/>
  <c r="P95" i="73"/>
  <c r="O95" i="73"/>
  <c r="N95" i="73"/>
  <c r="Q94" i="73"/>
  <c r="P94" i="73"/>
  <c r="O94" i="73"/>
  <c r="N94" i="73"/>
  <c r="Q93" i="73"/>
  <c r="P93" i="73"/>
  <c r="O93" i="73"/>
  <c r="N93" i="73"/>
  <c r="Q92" i="73"/>
  <c r="P92" i="73"/>
  <c r="O92" i="73"/>
  <c r="N92" i="73"/>
  <c r="Q91" i="73"/>
  <c r="P91" i="73"/>
  <c r="O91" i="73"/>
  <c r="N91" i="73"/>
  <c r="Q90" i="73"/>
  <c r="P90" i="73"/>
  <c r="O90" i="73"/>
  <c r="N90" i="73"/>
  <c r="Q89" i="73"/>
  <c r="P89" i="73"/>
  <c r="O89" i="73"/>
  <c r="N89" i="73"/>
  <c r="Q88" i="73"/>
  <c r="P88" i="73"/>
  <c r="O88" i="73"/>
  <c r="N88" i="73"/>
  <c r="Q87" i="73"/>
  <c r="P87" i="73"/>
  <c r="O87" i="73"/>
  <c r="N87" i="73"/>
  <c r="Q86" i="73"/>
  <c r="P86" i="73"/>
  <c r="O86" i="73"/>
  <c r="N86" i="73"/>
  <c r="Q85" i="73"/>
  <c r="P85" i="73"/>
  <c r="O85" i="73"/>
  <c r="N85" i="73"/>
  <c r="Q84" i="73"/>
  <c r="P84" i="73"/>
  <c r="O84" i="73"/>
  <c r="N84" i="73"/>
  <c r="Q83" i="73"/>
  <c r="P83" i="73"/>
  <c r="O83" i="73"/>
  <c r="N83" i="73"/>
  <c r="Q82" i="73"/>
  <c r="P82" i="73"/>
  <c r="O82" i="73"/>
  <c r="N82" i="73"/>
  <c r="Q81" i="73"/>
  <c r="P81" i="73"/>
  <c r="O81" i="73"/>
  <c r="N81" i="73"/>
  <c r="Q80" i="73"/>
  <c r="P80" i="73"/>
  <c r="O80" i="73"/>
  <c r="N80" i="73"/>
  <c r="Q79" i="73"/>
  <c r="P79" i="73"/>
  <c r="O79" i="73"/>
  <c r="N79" i="73"/>
  <c r="Q78" i="73"/>
  <c r="P78" i="73"/>
  <c r="O78" i="73"/>
  <c r="N78" i="73"/>
  <c r="Q77" i="73"/>
  <c r="P77" i="73"/>
  <c r="O77" i="73"/>
  <c r="N77" i="73"/>
  <c r="Q76" i="73"/>
  <c r="P76" i="73"/>
  <c r="O76" i="73"/>
  <c r="N76" i="73"/>
  <c r="Q75" i="73"/>
  <c r="P75" i="73"/>
  <c r="O75" i="73"/>
  <c r="N75" i="73"/>
  <c r="Q74" i="73"/>
  <c r="P74" i="73"/>
  <c r="O74" i="73"/>
  <c r="N74" i="73"/>
  <c r="Q73" i="73"/>
  <c r="P73" i="73"/>
  <c r="O73" i="73"/>
  <c r="N73" i="73"/>
  <c r="Q72" i="73"/>
  <c r="P72" i="73"/>
  <c r="O72" i="73"/>
  <c r="N72" i="73"/>
  <c r="Q71" i="73"/>
  <c r="P71" i="73"/>
  <c r="O71" i="73"/>
  <c r="N71" i="73"/>
  <c r="Q70" i="73"/>
  <c r="P70" i="73"/>
  <c r="O70" i="73"/>
  <c r="N70" i="73"/>
  <c r="Q69" i="73"/>
  <c r="P69" i="73"/>
  <c r="O69" i="73"/>
  <c r="N69" i="73"/>
  <c r="Q68" i="73"/>
  <c r="P68" i="73"/>
  <c r="O68" i="73"/>
  <c r="N68" i="73"/>
  <c r="Q67" i="73"/>
  <c r="P67" i="73"/>
  <c r="O67" i="73"/>
  <c r="N67" i="73"/>
  <c r="Q66" i="73"/>
  <c r="P66" i="73"/>
  <c r="O66" i="73"/>
  <c r="N66" i="73"/>
  <c r="Q65" i="73"/>
  <c r="P65" i="73"/>
  <c r="O65" i="73"/>
  <c r="N65" i="73"/>
  <c r="Q64" i="73"/>
  <c r="P64" i="73"/>
  <c r="O64" i="73"/>
  <c r="N64" i="73"/>
  <c r="Q63" i="73"/>
  <c r="P63" i="73"/>
  <c r="O63" i="73"/>
  <c r="N63" i="73"/>
  <c r="Q62" i="73"/>
  <c r="P62" i="73"/>
  <c r="O62" i="73"/>
  <c r="N62" i="73"/>
  <c r="Q61" i="73"/>
  <c r="P61" i="73"/>
  <c r="O61" i="73"/>
  <c r="N61" i="73"/>
  <c r="Q60" i="73"/>
  <c r="P60" i="73"/>
  <c r="O60" i="73"/>
  <c r="N60" i="73"/>
  <c r="Q59" i="73"/>
  <c r="P59" i="73"/>
  <c r="O59" i="73"/>
  <c r="N59" i="73"/>
  <c r="Q58" i="73"/>
  <c r="P58" i="73"/>
  <c r="O58" i="73"/>
  <c r="N58" i="73"/>
  <c r="Q57" i="73"/>
  <c r="P57" i="73"/>
  <c r="O57" i="73"/>
  <c r="N57" i="73"/>
  <c r="Q56" i="73"/>
  <c r="P56" i="73"/>
  <c r="O56" i="73"/>
  <c r="N56" i="73"/>
  <c r="Q55" i="73"/>
  <c r="P55" i="73"/>
  <c r="O55" i="73"/>
  <c r="N55" i="73"/>
  <c r="Q54" i="73"/>
  <c r="P54" i="73"/>
  <c r="O54" i="73"/>
  <c r="N54" i="73"/>
  <c r="Q53" i="73"/>
  <c r="P53" i="73"/>
  <c r="O53" i="73"/>
  <c r="N53" i="73"/>
  <c r="Q52" i="73"/>
  <c r="P52" i="73"/>
  <c r="O52" i="73"/>
  <c r="N52" i="73"/>
  <c r="Q51" i="73"/>
  <c r="P51" i="73"/>
  <c r="O51" i="73"/>
  <c r="N51" i="73"/>
  <c r="Q50" i="73"/>
  <c r="P50" i="73"/>
  <c r="O50" i="73"/>
  <c r="N50" i="73"/>
  <c r="Q49" i="73"/>
  <c r="P49" i="73"/>
  <c r="O49" i="73"/>
  <c r="N49" i="73"/>
  <c r="Q48" i="73"/>
  <c r="P48" i="73"/>
  <c r="O48" i="73"/>
  <c r="N48" i="73"/>
  <c r="Q47" i="73"/>
  <c r="P47" i="73"/>
  <c r="O47" i="73"/>
  <c r="N47" i="73"/>
  <c r="Q46" i="73"/>
  <c r="P46" i="73"/>
  <c r="O46" i="73"/>
  <c r="N46" i="73"/>
  <c r="Q45" i="73"/>
  <c r="P45" i="73"/>
  <c r="O45" i="73"/>
  <c r="N45" i="73"/>
  <c r="Q44" i="73"/>
  <c r="P44" i="73"/>
  <c r="O44" i="73"/>
  <c r="N44" i="73"/>
  <c r="Q43" i="73"/>
  <c r="P43" i="73"/>
  <c r="O43" i="73"/>
  <c r="N43" i="73"/>
  <c r="Q42" i="73"/>
  <c r="P42" i="73"/>
  <c r="O42" i="73"/>
  <c r="N42" i="73"/>
  <c r="Q41" i="73"/>
  <c r="P41" i="73"/>
  <c r="O41" i="73"/>
  <c r="N41" i="73"/>
  <c r="Q40" i="73"/>
  <c r="P40" i="73"/>
  <c r="O40" i="73"/>
  <c r="N40" i="73"/>
  <c r="Q39" i="73"/>
  <c r="P39" i="73"/>
  <c r="O39" i="73"/>
  <c r="N39" i="73"/>
  <c r="Q38" i="73"/>
  <c r="P38" i="73"/>
  <c r="O38" i="73"/>
  <c r="N38" i="73"/>
  <c r="Q37" i="73"/>
  <c r="P37" i="73"/>
  <c r="O37" i="73"/>
  <c r="N37" i="73"/>
  <c r="Q36" i="73"/>
  <c r="P36" i="73"/>
  <c r="O36" i="73"/>
  <c r="N36" i="73"/>
  <c r="Q35" i="73"/>
  <c r="P35" i="73"/>
  <c r="O35" i="73"/>
  <c r="N35" i="73"/>
  <c r="Q34" i="73"/>
  <c r="P34" i="73"/>
  <c r="O34" i="73"/>
  <c r="N34" i="73"/>
  <c r="Q33" i="73"/>
  <c r="P33" i="73"/>
  <c r="O33" i="73"/>
  <c r="N33" i="73"/>
  <c r="Q32" i="73"/>
  <c r="P32" i="73"/>
  <c r="O32" i="73"/>
  <c r="N32" i="73"/>
  <c r="Q31" i="73"/>
  <c r="P31" i="73"/>
  <c r="O31" i="73"/>
  <c r="N31" i="73"/>
  <c r="Q30" i="73"/>
  <c r="P30" i="73"/>
  <c r="O30" i="73"/>
  <c r="N30" i="73"/>
  <c r="Q29" i="73"/>
  <c r="P29" i="73"/>
  <c r="O29" i="73"/>
  <c r="N29" i="73"/>
  <c r="Q28" i="73"/>
  <c r="P28" i="73"/>
  <c r="O28" i="73"/>
  <c r="N28" i="73"/>
  <c r="Q27" i="73"/>
  <c r="P27" i="73"/>
  <c r="O27" i="73"/>
  <c r="N27" i="73"/>
  <c r="Q26" i="73"/>
  <c r="P26" i="73"/>
  <c r="O26" i="73"/>
  <c r="N26" i="73"/>
  <c r="Q25" i="73"/>
  <c r="P25" i="73"/>
  <c r="O25" i="73"/>
  <c r="N25" i="73"/>
  <c r="Q24" i="73"/>
  <c r="P24" i="73"/>
  <c r="O24" i="73"/>
  <c r="N24" i="73"/>
  <c r="Q23" i="73"/>
  <c r="P23" i="73"/>
  <c r="O23" i="73"/>
  <c r="N23" i="73"/>
  <c r="Q22" i="73"/>
  <c r="P22" i="73"/>
  <c r="O22" i="73"/>
  <c r="N22" i="73"/>
  <c r="Q21" i="73"/>
  <c r="P21" i="73"/>
  <c r="O21" i="73"/>
  <c r="N21" i="73"/>
  <c r="Q20" i="73"/>
  <c r="P20" i="73"/>
  <c r="O20" i="73"/>
  <c r="N20" i="73"/>
  <c r="Q19" i="73"/>
  <c r="P19" i="73"/>
  <c r="O19" i="73"/>
  <c r="N19" i="73"/>
  <c r="Q18" i="73"/>
  <c r="P18" i="73"/>
  <c r="O18" i="73"/>
  <c r="N18" i="73"/>
  <c r="Q17" i="73"/>
  <c r="P17" i="73"/>
  <c r="O17" i="73"/>
  <c r="N17" i="73"/>
  <c r="Q16" i="73"/>
  <c r="P16" i="73"/>
  <c r="O16" i="73"/>
  <c r="N16" i="73"/>
  <c r="Q15" i="73"/>
  <c r="P15" i="73"/>
  <c r="O15" i="73"/>
  <c r="N15" i="73"/>
  <c r="Q14" i="73"/>
  <c r="P14" i="73"/>
  <c r="O14" i="73"/>
  <c r="N14" i="73"/>
  <c r="Q13" i="73"/>
  <c r="P13" i="73"/>
  <c r="O13" i="73"/>
  <c r="N13" i="73"/>
  <c r="Q12" i="73"/>
  <c r="P12" i="73"/>
  <c r="O12" i="73"/>
  <c r="N12" i="73"/>
  <c r="Q11" i="73"/>
  <c r="P11" i="73"/>
  <c r="O11" i="73"/>
  <c r="N11" i="73"/>
  <c r="Q10" i="73"/>
  <c r="P10" i="73"/>
  <c r="O10" i="73"/>
  <c r="N10" i="73"/>
  <c r="Q9" i="73"/>
  <c r="P9" i="73"/>
  <c r="O9" i="73"/>
  <c r="N9" i="73"/>
  <c r="Q8" i="73"/>
  <c r="P8" i="73"/>
  <c r="O8" i="73"/>
  <c r="N8" i="73"/>
  <c r="Q7" i="73"/>
  <c r="P7" i="73"/>
  <c r="O7" i="73"/>
  <c r="N7" i="73"/>
  <c r="Q6" i="73"/>
  <c r="P6" i="73"/>
  <c r="O6" i="73"/>
  <c r="N6" i="73"/>
  <c r="Q5" i="73"/>
  <c r="P5" i="73"/>
  <c r="O5" i="73"/>
  <c r="N5" i="73"/>
  <c r="Q4" i="73"/>
  <c r="P4" i="73"/>
  <c r="O4" i="73"/>
  <c r="N4" i="73"/>
  <c r="Q3" i="73"/>
  <c r="P3" i="73"/>
  <c r="O3" i="73"/>
  <c r="N3" i="73"/>
  <c r="Q123" i="72"/>
  <c r="P123" i="72"/>
  <c r="O123" i="72"/>
  <c r="N123" i="72"/>
  <c r="Q122" i="72"/>
  <c r="P122" i="72"/>
  <c r="O122" i="72"/>
  <c r="N122" i="72"/>
  <c r="Q121" i="72"/>
  <c r="P121" i="72"/>
  <c r="O121" i="72"/>
  <c r="N121" i="72"/>
  <c r="Q120" i="72"/>
  <c r="P120" i="72"/>
  <c r="O120" i="72"/>
  <c r="N120" i="72"/>
  <c r="Q119" i="72"/>
  <c r="P119" i="72"/>
  <c r="O119" i="72"/>
  <c r="N119" i="72"/>
  <c r="Q118" i="72"/>
  <c r="P118" i="72"/>
  <c r="O118" i="72"/>
  <c r="N118" i="72"/>
  <c r="Q117" i="72"/>
  <c r="P117" i="72"/>
  <c r="O117" i="72"/>
  <c r="N117" i="72"/>
  <c r="Q116" i="72"/>
  <c r="P116" i="72"/>
  <c r="O116" i="72"/>
  <c r="N116" i="72"/>
  <c r="Q115" i="72"/>
  <c r="P115" i="72"/>
  <c r="O115" i="72"/>
  <c r="N115" i="72"/>
  <c r="Q114" i="72"/>
  <c r="P114" i="72"/>
  <c r="O114" i="72"/>
  <c r="N114" i="72"/>
  <c r="Q113" i="72"/>
  <c r="P113" i="72"/>
  <c r="O113" i="72"/>
  <c r="N113" i="72"/>
  <c r="Q112" i="72"/>
  <c r="P112" i="72"/>
  <c r="O112" i="72"/>
  <c r="N112" i="72"/>
  <c r="Q111" i="72"/>
  <c r="P111" i="72"/>
  <c r="O111" i="72"/>
  <c r="N111" i="72"/>
  <c r="Q110" i="72"/>
  <c r="P110" i="72"/>
  <c r="O110" i="72"/>
  <c r="N110" i="72"/>
  <c r="Q109" i="72"/>
  <c r="P109" i="72"/>
  <c r="O109" i="72"/>
  <c r="N109" i="72"/>
  <c r="Q108" i="72"/>
  <c r="P108" i="72"/>
  <c r="O108" i="72"/>
  <c r="N108" i="72"/>
  <c r="Q107" i="72"/>
  <c r="P107" i="72"/>
  <c r="O107" i="72"/>
  <c r="N107" i="72"/>
  <c r="Q106" i="72"/>
  <c r="P106" i="72"/>
  <c r="O106" i="72"/>
  <c r="N106" i="72"/>
  <c r="Q105" i="72"/>
  <c r="P105" i="72"/>
  <c r="O105" i="72"/>
  <c r="N105" i="72"/>
  <c r="Q104" i="72"/>
  <c r="P104" i="72"/>
  <c r="O104" i="72"/>
  <c r="N104" i="72"/>
  <c r="Q103" i="72"/>
  <c r="P103" i="72"/>
  <c r="O103" i="72"/>
  <c r="N103" i="72"/>
  <c r="Q102" i="72"/>
  <c r="P102" i="72"/>
  <c r="O102" i="72"/>
  <c r="N102" i="72"/>
  <c r="Q101" i="72"/>
  <c r="P101" i="72"/>
  <c r="O101" i="72"/>
  <c r="N101" i="72"/>
  <c r="Q100" i="72"/>
  <c r="P100" i="72"/>
  <c r="O100" i="72"/>
  <c r="N100" i="72"/>
  <c r="Q99" i="72"/>
  <c r="P99" i="72"/>
  <c r="O99" i="72"/>
  <c r="N99" i="72"/>
  <c r="Q98" i="72"/>
  <c r="P98" i="72"/>
  <c r="O98" i="72"/>
  <c r="N98" i="72"/>
  <c r="Q97" i="72"/>
  <c r="P97" i="72"/>
  <c r="O97" i="72"/>
  <c r="N97" i="72"/>
  <c r="Q96" i="72"/>
  <c r="P96" i="72"/>
  <c r="O96" i="72"/>
  <c r="N96" i="72"/>
  <c r="Q95" i="72"/>
  <c r="P95" i="72"/>
  <c r="O95" i="72"/>
  <c r="N95" i="72"/>
  <c r="Q94" i="72"/>
  <c r="P94" i="72"/>
  <c r="O94" i="72"/>
  <c r="N94" i="72"/>
  <c r="Q93" i="72"/>
  <c r="P93" i="72"/>
  <c r="O93" i="72"/>
  <c r="N93" i="72"/>
  <c r="Q92" i="72"/>
  <c r="P92" i="72"/>
  <c r="O92" i="72"/>
  <c r="N92" i="72"/>
  <c r="Q91" i="72"/>
  <c r="P91" i="72"/>
  <c r="O91" i="72"/>
  <c r="N91" i="72"/>
  <c r="Q90" i="72"/>
  <c r="P90" i="72"/>
  <c r="O90" i="72"/>
  <c r="N90" i="72"/>
  <c r="Q89" i="72"/>
  <c r="P89" i="72"/>
  <c r="O89" i="72"/>
  <c r="N89" i="72"/>
  <c r="Q88" i="72"/>
  <c r="P88" i="72"/>
  <c r="O88" i="72"/>
  <c r="N88" i="72"/>
  <c r="Q87" i="72"/>
  <c r="P87" i="72"/>
  <c r="O87" i="72"/>
  <c r="N87" i="72"/>
  <c r="Q86" i="72"/>
  <c r="P86" i="72"/>
  <c r="O86" i="72"/>
  <c r="N86" i="72"/>
  <c r="Q85" i="72"/>
  <c r="P85" i="72"/>
  <c r="O85" i="72"/>
  <c r="N85" i="72"/>
  <c r="Q84" i="72"/>
  <c r="P84" i="72"/>
  <c r="O84" i="72"/>
  <c r="N84" i="72"/>
  <c r="Q83" i="72"/>
  <c r="P83" i="72"/>
  <c r="O83" i="72"/>
  <c r="N83" i="72"/>
  <c r="Q82" i="72"/>
  <c r="P82" i="72"/>
  <c r="O82" i="72"/>
  <c r="N82" i="72"/>
  <c r="Q81" i="72"/>
  <c r="P81" i="72"/>
  <c r="O81" i="72"/>
  <c r="N81" i="72"/>
  <c r="Q80" i="72"/>
  <c r="P80" i="72"/>
  <c r="O80" i="72"/>
  <c r="N80" i="72"/>
  <c r="Q79" i="72"/>
  <c r="P79" i="72"/>
  <c r="O79" i="72"/>
  <c r="N79" i="72"/>
  <c r="Q78" i="72"/>
  <c r="P78" i="72"/>
  <c r="O78" i="72"/>
  <c r="N78" i="72"/>
  <c r="Q77" i="72"/>
  <c r="P77" i="72"/>
  <c r="O77" i="72"/>
  <c r="N77" i="72"/>
  <c r="Q76" i="72"/>
  <c r="P76" i="72"/>
  <c r="O76" i="72"/>
  <c r="N76" i="72"/>
  <c r="Q75" i="72"/>
  <c r="P75" i="72"/>
  <c r="O75" i="72"/>
  <c r="N75" i="72"/>
  <c r="Q74" i="72"/>
  <c r="P74" i="72"/>
  <c r="O74" i="72"/>
  <c r="N74" i="72"/>
  <c r="Q73" i="72"/>
  <c r="P73" i="72"/>
  <c r="O73" i="72"/>
  <c r="N73" i="72"/>
  <c r="Q72" i="72"/>
  <c r="P72" i="72"/>
  <c r="O72" i="72"/>
  <c r="N72" i="72"/>
  <c r="Q71" i="72"/>
  <c r="P71" i="72"/>
  <c r="O71" i="72"/>
  <c r="N71" i="72"/>
  <c r="Q70" i="72"/>
  <c r="P70" i="72"/>
  <c r="O70" i="72"/>
  <c r="N70" i="72"/>
  <c r="Q69" i="72"/>
  <c r="P69" i="72"/>
  <c r="O69" i="72"/>
  <c r="N69" i="72"/>
  <c r="Q68" i="72"/>
  <c r="P68" i="72"/>
  <c r="O68" i="72"/>
  <c r="N68" i="72"/>
  <c r="Q67" i="72"/>
  <c r="P67" i="72"/>
  <c r="O67" i="72"/>
  <c r="N67" i="72"/>
  <c r="Q66" i="72"/>
  <c r="P66" i="72"/>
  <c r="O66" i="72"/>
  <c r="N66" i="72"/>
  <c r="Q65" i="72"/>
  <c r="P65" i="72"/>
  <c r="O65" i="72"/>
  <c r="N65" i="72"/>
  <c r="Q64" i="72"/>
  <c r="P64" i="72"/>
  <c r="O64" i="72"/>
  <c r="N64" i="72"/>
  <c r="Q63" i="72"/>
  <c r="P63" i="72"/>
  <c r="O63" i="72"/>
  <c r="N63" i="72"/>
  <c r="Q62" i="72"/>
  <c r="P62" i="72"/>
  <c r="O62" i="72"/>
  <c r="N62" i="72"/>
  <c r="Q61" i="72"/>
  <c r="P61" i="72"/>
  <c r="O61" i="72"/>
  <c r="N61" i="72"/>
  <c r="Q60" i="72"/>
  <c r="P60" i="72"/>
  <c r="O60" i="72"/>
  <c r="N60" i="72"/>
  <c r="Q59" i="72"/>
  <c r="P59" i="72"/>
  <c r="O59" i="72"/>
  <c r="N59" i="72"/>
  <c r="Q58" i="72"/>
  <c r="P58" i="72"/>
  <c r="O58" i="72"/>
  <c r="N58" i="72"/>
  <c r="Q57" i="72"/>
  <c r="P57" i="72"/>
  <c r="O57" i="72"/>
  <c r="N57" i="72"/>
  <c r="Q56" i="72"/>
  <c r="P56" i="72"/>
  <c r="O56" i="72"/>
  <c r="N56" i="72"/>
  <c r="Q55" i="72"/>
  <c r="P55" i="72"/>
  <c r="O55" i="72"/>
  <c r="N55" i="72"/>
  <c r="Q54" i="72"/>
  <c r="P54" i="72"/>
  <c r="O54" i="72"/>
  <c r="N54" i="72"/>
  <c r="Q53" i="72"/>
  <c r="P53" i="72"/>
  <c r="O53" i="72"/>
  <c r="N53" i="72"/>
  <c r="Q52" i="72"/>
  <c r="P52" i="72"/>
  <c r="O52" i="72"/>
  <c r="N52" i="72"/>
  <c r="Q51" i="72"/>
  <c r="P51" i="72"/>
  <c r="O51" i="72"/>
  <c r="N51" i="72"/>
  <c r="Q50" i="72"/>
  <c r="P50" i="72"/>
  <c r="O50" i="72"/>
  <c r="N50" i="72"/>
  <c r="Q49" i="72"/>
  <c r="P49" i="72"/>
  <c r="O49" i="72"/>
  <c r="N49" i="72"/>
  <c r="Q48" i="72"/>
  <c r="P48" i="72"/>
  <c r="O48" i="72"/>
  <c r="N48" i="72"/>
  <c r="Q47" i="72"/>
  <c r="P47" i="72"/>
  <c r="O47" i="72"/>
  <c r="N47" i="72"/>
  <c r="Q46" i="72"/>
  <c r="P46" i="72"/>
  <c r="O46" i="72"/>
  <c r="N46" i="72"/>
  <c r="Q45" i="72"/>
  <c r="P45" i="72"/>
  <c r="O45" i="72"/>
  <c r="N45" i="72"/>
  <c r="Q44" i="72"/>
  <c r="P44" i="72"/>
  <c r="O44" i="72"/>
  <c r="N44" i="72"/>
  <c r="Q43" i="72"/>
  <c r="P43" i="72"/>
  <c r="O43" i="72"/>
  <c r="N43" i="72"/>
  <c r="Q42" i="72"/>
  <c r="P42" i="72"/>
  <c r="O42" i="72"/>
  <c r="N42" i="72"/>
  <c r="Q41" i="72"/>
  <c r="P41" i="72"/>
  <c r="O41" i="72"/>
  <c r="N41" i="72"/>
  <c r="Q40" i="72"/>
  <c r="P40" i="72"/>
  <c r="O40" i="72"/>
  <c r="N40" i="72"/>
  <c r="Q39" i="72"/>
  <c r="P39" i="72"/>
  <c r="O39" i="72"/>
  <c r="N39" i="72"/>
  <c r="Q38" i="72"/>
  <c r="P38" i="72"/>
  <c r="O38" i="72"/>
  <c r="N38" i="72"/>
  <c r="Q37" i="72"/>
  <c r="P37" i="72"/>
  <c r="O37" i="72"/>
  <c r="N37" i="72"/>
  <c r="Q36" i="72"/>
  <c r="P36" i="72"/>
  <c r="O36" i="72"/>
  <c r="N36" i="72"/>
  <c r="Q35" i="72"/>
  <c r="P35" i="72"/>
  <c r="O35" i="72"/>
  <c r="N35" i="72"/>
  <c r="Q34" i="72"/>
  <c r="P34" i="72"/>
  <c r="O34" i="72"/>
  <c r="N34" i="72"/>
  <c r="Q33" i="72"/>
  <c r="P33" i="72"/>
  <c r="O33" i="72"/>
  <c r="N33" i="72"/>
  <c r="Q32" i="72"/>
  <c r="P32" i="72"/>
  <c r="O32" i="72"/>
  <c r="N32" i="72"/>
  <c r="Q31" i="72"/>
  <c r="P31" i="72"/>
  <c r="O31" i="72"/>
  <c r="N31" i="72"/>
  <c r="Q30" i="72"/>
  <c r="P30" i="72"/>
  <c r="O30" i="72"/>
  <c r="N30" i="72"/>
  <c r="Q29" i="72"/>
  <c r="P29" i="72"/>
  <c r="O29" i="72"/>
  <c r="N29" i="72"/>
  <c r="Q28" i="72"/>
  <c r="P28" i="72"/>
  <c r="O28" i="72"/>
  <c r="N28" i="72"/>
  <c r="Q27" i="72"/>
  <c r="P27" i="72"/>
  <c r="O27" i="72"/>
  <c r="N27" i="72"/>
  <c r="Q26" i="72"/>
  <c r="P26" i="72"/>
  <c r="O26" i="72"/>
  <c r="N26" i="72"/>
  <c r="Q25" i="72"/>
  <c r="P25" i="72"/>
  <c r="O25" i="72"/>
  <c r="N25" i="72"/>
  <c r="Q24" i="72"/>
  <c r="P24" i="72"/>
  <c r="O24" i="72"/>
  <c r="N24" i="72"/>
  <c r="Q23" i="72"/>
  <c r="P23" i="72"/>
  <c r="O23" i="72"/>
  <c r="N23" i="72"/>
  <c r="Q22" i="72"/>
  <c r="P22" i="72"/>
  <c r="O22" i="72"/>
  <c r="N22" i="72"/>
  <c r="Q21" i="72"/>
  <c r="P21" i="72"/>
  <c r="O21" i="72"/>
  <c r="N21" i="72"/>
  <c r="Q20" i="72"/>
  <c r="P20" i="72"/>
  <c r="O20" i="72"/>
  <c r="N20" i="72"/>
  <c r="Q19" i="72"/>
  <c r="P19" i="72"/>
  <c r="O19" i="72"/>
  <c r="N19" i="72"/>
  <c r="Q18" i="72"/>
  <c r="P18" i="72"/>
  <c r="O18" i="72"/>
  <c r="N18" i="72"/>
  <c r="Q17" i="72"/>
  <c r="P17" i="72"/>
  <c r="O17" i="72"/>
  <c r="N17" i="72"/>
  <c r="Q16" i="72"/>
  <c r="P16" i="72"/>
  <c r="O16" i="72"/>
  <c r="N16" i="72"/>
  <c r="Q15" i="72"/>
  <c r="P15" i="72"/>
  <c r="O15" i="72"/>
  <c r="N15" i="72"/>
  <c r="Q14" i="72"/>
  <c r="P14" i="72"/>
  <c r="O14" i="72"/>
  <c r="N14" i="72"/>
  <c r="Q13" i="72"/>
  <c r="P13" i="72"/>
  <c r="O13" i="72"/>
  <c r="N13" i="72"/>
  <c r="Q12" i="72"/>
  <c r="P12" i="72"/>
  <c r="O12" i="72"/>
  <c r="N12" i="72"/>
  <c r="Q11" i="72"/>
  <c r="P11" i="72"/>
  <c r="O11" i="72"/>
  <c r="N11" i="72"/>
  <c r="Q10" i="72"/>
  <c r="P10" i="72"/>
  <c r="O10" i="72"/>
  <c r="N10" i="72"/>
  <c r="Q9" i="72"/>
  <c r="P9" i="72"/>
  <c r="O9" i="72"/>
  <c r="N9" i="72"/>
  <c r="Q8" i="72"/>
  <c r="P8" i="72"/>
  <c r="O8" i="72"/>
  <c r="N8" i="72"/>
  <c r="Q7" i="72"/>
  <c r="P7" i="72"/>
  <c r="O7" i="72"/>
  <c r="N7" i="72"/>
  <c r="Q6" i="72"/>
  <c r="P6" i="72"/>
  <c r="O6" i="72"/>
  <c r="N6" i="72"/>
  <c r="Q5" i="72"/>
  <c r="P5" i="72"/>
  <c r="O5" i="72"/>
  <c r="N5" i="72"/>
  <c r="Q4" i="72"/>
  <c r="P4" i="72"/>
  <c r="O4" i="72"/>
  <c r="N4" i="72"/>
  <c r="Q3" i="72"/>
  <c r="P3" i="72"/>
  <c r="O3" i="72"/>
  <c r="N3" i="72"/>
  <c r="Q123" i="71"/>
  <c r="P123" i="71"/>
  <c r="O123" i="71"/>
  <c r="N123" i="71"/>
  <c r="Q122" i="71"/>
  <c r="P122" i="71"/>
  <c r="O122" i="71"/>
  <c r="N122" i="71"/>
  <c r="Q121" i="71"/>
  <c r="P121" i="71"/>
  <c r="O121" i="71"/>
  <c r="N121" i="71"/>
  <c r="Q120" i="71"/>
  <c r="P120" i="71"/>
  <c r="O120" i="71"/>
  <c r="N120" i="71"/>
  <c r="Q119" i="71"/>
  <c r="P119" i="71"/>
  <c r="O119" i="71"/>
  <c r="N119" i="71"/>
  <c r="Q118" i="71"/>
  <c r="P118" i="71"/>
  <c r="O118" i="71"/>
  <c r="N118" i="71"/>
  <c r="Q117" i="71"/>
  <c r="P117" i="71"/>
  <c r="O117" i="71"/>
  <c r="N117" i="71"/>
  <c r="Q116" i="71"/>
  <c r="P116" i="71"/>
  <c r="O116" i="71"/>
  <c r="N116" i="71"/>
  <c r="Q115" i="71"/>
  <c r="P115" i="71"/>
  <c r="O115" i="71"/>
  <c r="N115" i="71"/>
  <c r="Q114" i="71"/>
  <c r="P114" i="71"/>
  <c r="O114" i="71"/>
  <c r="N114" i="71"/>
  <c r="Q113" i="71"/>
  <c r="P113" i="71"/>
  <c r="O113" i="71"/>
  <c r="N113" i="71"/>
  <c r="Q112" i="71"/>
  <c r="P112" i="71"/>
  <c r="O112" i="71"/>
  <c r="N112" i="71"/>
  <c r="Q111" i="71"/>
  <c r="P111" i="71"/>
  <c r="O111" i="71"/>
  <c r="N111" i="71"/>
  <c r="Q110" i="71"/>
  <c r="P110" i="71"/>
  <c r="O110" i="71"/>
  <c r="N110" i="71"/>
  <c r="Q109" i="71"/>
  <c r="P109" i="71"/>
  <c r="O109" i="71"/>
  <c r="N109" i="71"/>
  <c r="Q108" i="71"/>
  <c r="P108" i="71"/>
  <c r="O108" i="71"/>
  <c r="N108" i="71"/>
  <c r="Q107" i="71"/>
  <c r="P107" i="71"/>
  <c r="O107" i="71"/>
  <c r="N107" i="71"/>
  <c r="Q106" i="71"/>
  <c r="P106" i="71"/>
  <c r="O106" i="71"/>
  <c r="N106" i="71"/>
  <c r="Q105" i="71"/>
  <c r="P105" i="71"/>
  <c r="O105" i="71"/>
  <c r="N105" i="71"/>
  <c r="Q104" i="71"/>
  <c r="P104" i="71"/>
  <c r="O104" i="71"/>
  <c r="N104" i="71"/>
  <c r="Q103" i="71"/>
  <c r="P103" i="71"/>
  <c r="O103" i="71"/>
  <c r="N103" i="71"/>
  <c r="Q102" i="71"/>
  <c r="P102" i="71"/>
  <c r="O102" i="71"/>
  <c r="N102" i="71"/>
  <c r="Q101" i="71"/>
  <c r="P101" i="71"/>
  <c r="O101" i="71"/>
  <c r="N101" i="71"/>
  <c r="Q100" i="71"/>
  <c r="P100" i="71"/>
  <c r="O100" i="71"/>
  <c r="N100" i="71"/>
  <c r="Q99" i="71"/>
  <c r="P99" i="71"/>
  <c r="O99" i="71"/>
  <c r="N99" i="71"/>
  <c r="Q98" i="71"/>
  <c r="P98" i="71"/>
  <c r="O98" i="71"/>
  <c r="N98" i="71"/>
  <c r="Q97" i="71"/>
  <c r="P97" i="71"/>
  <c r="O97" i="71"/>
  <c r="N97" i="71"/>
  <c r="Q96" i="71"/>
  <c r="P96" i="71"/>
  <c r="O96" i="71"/>
  <c r="N96" i="71"/>
  <c r="Q95" i="71"/>
  <c r="P95" i="71"/>
  <c r="O95" i="71"/>
  <c r="N95" i="71"/>
  <c r="Q94" i="71"/>
  <c r="P94" i="71"/>
  <c r="O94" i="71"/>
  <c r="N94" i="71"/>
  <c r="Q93" i="71"/>
  <c r="P93" i="71"/>
  <c r="O93" i="71"/>
  <c r="N93" i="71"/>
  <c r="Q92" i="71"/>
  <c r="P92" i="71"/>
  <c r="O92" i="71"/>
  <c r="N92" i="71"/>
  <c r="Q91" i="71"/>
  <c r="P91" i="71"/>
  <c r="O91" i="71"/>
  <c r="N91" i="71"/>
  <c r="Q90" i="71"/>
  <c r="P90" i="71"/>
  <c r="O90" i="71"/>
  <c r="N90" i="71"/>
  <c r="Q89" i="71"/>
  <c r="P89" i="71"/>
  <c r="O89" i="71"/>
  <c r="N89" i="71"/>
  <c r="Q88" i="71"/>
  <c r="P88" i="71"/>
  <c r="O88" i="71"/>
  <c r="N88" i="71"/>
  <c r="Q87" i="71"/>
  <c r="P87" i="71"/>
  <c r="O87" i="71"/>
  <c r="N87" i="71"/>
  <c r="Q86" i="71"/>
  <c r="P86" i="71"/>
  <c r="O86" i="71"/>
  <c r="N86" i="71"/>
  <c r="Q85" i="71"/>
  <c r="P85" i="71"/>
  <c r="O85" i="71"/>
  <c r="N85" i="71"/>
  <c r="Q84" i="71"/>
  <c r="P84" i="71"/>
  <c r="O84" i="71"/>
  <c r="N84" i="71"/>
  <c r="Q83" i="71"/>
  <c r="P83" i="71"/>
  <c r="O83" i="71"/>
  <c r="N83" i="71"/>
  <c r="Q82" i="71"/>
  <c r="P82" i="71"/>
  <c r="O82" i="71"/>
  <c r="N82" i="71"/>
  <c r="Q81" i="71"/>
  <c r="P81" i="71"/>
  <c r="O81" i="71"/>
  <c r="N81" i="71"/>
  <c r="Q80" i="71"/>
  <c r="P80" i="71"/>
  <c r="O80" i="71"/>
  <c r="N80" i="71"/>
  <c r="Q79" i="71"/>
  <c r="P79" i="71"/>
  <c r="O79" i="71"/>
  <c r="N79" i="71"/>
  <c r="Q78" i="71"/>
  <c r="P78" i="71"/>
  <c r="O78" i="71"/>
  <c r="N78" i="71"/>
  <c r="Q77" i="71"/>
  <c r="P77" i="71"/>
  <c r="O77" i="71"/>
  <c r="N77" i="71"/>
  <c r="Q76" i="71"/>
  <c r="P76" i="71"/>
  <c r="O76" i="71"/>
  <c r="N76" i="71"/>
  <c r="Q75" i="71"/>
  <c r="P75" i="71"/>
  <c r="O75" i="71"/>
  <c r="N75" i="71"/>
  <c r="Q74" i="71"/>
  <c r="P74" i="71"/>
  <c r="O74" i="71"/>
  <c r="N74" i="71"/>
  <c r="Q73" i="71"/>
  <c r="P73" i="71"/>
  <c r="O73" i="71"/>
  <c r="N73" i="71"/>
  <c r="Q72" i="71"/>
  <c r="P72" i="71"/>
  <c r="O72" i="71"/>
  <c r="N72" i="71"/>
  <c r="Q71" i="71"/>
  <c r="P71" i="71"/>
  <c r="O71" i="71"/>
  <c r="N71" i="71"/>
  <c r="Q70" i="71"/>
  <c r="P70" i="71"/>
  <c r="O70" i="71"/>
  <c r="N70" i="71"/>
  <c r="Q69" i="71"/>
  <c r="P69" i="71"/>
  <c r="O69" i="71"/>
  <c r="N69" i="71"/>
  <c r="Q68" i="71"/>
  <c r="P68" i="71"/>
  <c r="O68" i="71"/>
  <c r="N68" i="71"/>
  <c r="Q67" i="71"/>
  <c r="P67" i="71"/>
  <c r="O67" i="71"/>
  <c r="N67" i="71"/>
  <c r="Q66" i="71"/>
  <c r="P66" i="71"/>
  <c r="O66" i="71"/>
  <c r="N66" i="71"/>
  <c r="Q65" i="71"/>
  <c r="P65" i="71"/>
  <c r="O65" i="71"/>
  <c r="N65" i="71"/>
  <c r="Q64" i="71"/>
  <c r="P64" i="71"/>
  <c r="O64" i="71"/>
  <c r="N64" i="71"/>
  <c r="Q63" i="71"/>
  <c r="P63" i="71"/>
  <c r="O63" i="71"/>
  <c r="N63" i="71"/>
  <c r="Q62" i="71"/>
  <c r="P62" i="71"/>
  <c r="O62" i="71"/>
  <c r="N62" i="71"/>
  <c r="Q61" i="71"/>
  <c r="P61" i="71"/>
  <c r="O61" i="71"/>
  <c r="N61" i="71"/>
  <c r="Q60" i="71"/>
  <c r="P60" i="71"/>
  <c r="O60" i="71"/>
  <c r="N60" i="71"/>
  <c r="Q59" i="71"/>
  <c r="P59" i="71"/>
  <c r="O59" i="71"/>
  <c r="N59" i="71"/>
  <c r="Q58" i="71"/>
  <c r="P58" i="71"/>
  <c r="O58" i="71"/>
  <c r="N58" i="71"/>
  <c r="Q57" i="71"/>
  <c r="P57" i="71"/>
  <c r="O57" i="71"/>
  <c r="N57" i="71"/>
  <c r="Q56" i="71"/>
  <c r="P56" i="71"/>
  <c r="O56" i="71"/>
  <c r="N56" i="71"/>
  <c r="Q55" i="71"/>
  <c r="P55" i="71"/>
  <c r="O55" i="71"/>
  <c r="N55" i="71"/>
  <c r="Q54" i="71"/>
  <c r="P54" i="71"/>
  <c r="O54" i="71"/>
  <c r="N54" i="71"/>
  <c r="Q53" i="71"/>
  <c r="P53" i="71"/>
  <c r="O53" i="71"/>
  <c r="N53" i="71"/>
  <c r="Q52" i="71"/>
  <c r="P52" i="71"/>
  <c r="O52" i="71"/>
  <c r="N52" i="71"/>
  <c r="Q51" i="71"/>
  <c r="P51" i="71"/>
  <c r="O51" i="71"/>
  <c r="N51" i="71"/>
  <c r="Q50" i="71"/>
  <c r="P50" i="71"/>
  <c r="O50" i="71"/>
  <c r="N50" i="71"/>
  <c r="Q49" i="71"/>
  <c r="P49" i="71"/>
  <c r="O49" i="71"/>
  <c r="N49" i="71"/>
  <c r="Q48" i="71"/>
  <c r="P48" i="71"/>
  <c r="O48" i="71"/>
  <c r="N48" i="71"/>
  <c r="Q47" i="71"/>
  <c r="P47" i="71"/>
  <c r="O47" i="71"/>
  <c r="N47" i="71"/>
  <c r="Q46" i="71"/>
  <c r="P46" i="71"/>
  <c r="O46" i="71"/>
  <c r="N46" i="71"/>
  <c r="Q45" i="71"/>
  <c r="P45" i="71"/>
  <c r="O45" i="71"/>
  <c r="N45" i="71"/>
  <c r="Q44" i="71"/>
  <c r="P44" i="71"/>
  <c r="O44" i="71"/>
  <c r="N44" i="71"/>
  <c r="Q43" i="71"/>
  <c r="P43" i="71"/>
  <c r="O43" i="71"/>
  <c r="N43" i="71"/>
  <c r="Q42" i="71"/>
  <c r="P42" i="71"/>
  <c r="O42" i="71"/>
  <c r="N42" i="71"/>
  <c r="Q41" i="71"/>
  <c r="P41" i="71"/>
  <c r="O41" i="71"/>
  <c r="N41" i="71"/>
  <c r="Q40" i="71"/>
  <c r="P40" i="71"/>
  <c r="O40" i="71"/>
  <c r="N40" i="71"/>
  <c r="Q39" i="71"/>
  <c r="P39" i="71"/>
  <c r="O39" i="71"/>
  <c r="N39" i="71"/>
  <c r="Q38" i="71"/>
  <c r="P38" i="71"/>
  <c r="O38" i="71"/>
  <c r="N38" i="71"/>
  <c r="Q37" i="71"/>
  <c r="P37" i="71"/>
  <c r="O37" i="71"/>
  <c r="N37" i="71"/>
  <c r="Q36" i="71"/>
  <c r="P36" i="71"/>
  <c r="O36" i="71"/>
  <c r="N36" i="71"/>
  <c r="Q35" i="71"/>
  <c r="P35" i="71"/>
  <c r="O35" i="71"/>
  <c r="N35" i="71"/>
  <c r="Q34" i="71"/>
  <c r="P34" i="71"/>
  <c r="O34" i="71"/>
  <c r="N34" i="71"/>
  <c r="Q33" i="71"/>
  <c r="P33" i="71"/>
  <c r="O33" i="71"/>
  <c r="N33" i="71"/>
  <c r="Q32" i="71"/>
  <c r="P32" i="71"/>
  <c r="O32" i="71"/>
  <c r="N32" i="71"/>
  <c r="Q31" i="71"/>
  <c r="P31" i="71"/>
  <c r="O31" i="71"/>
  <c r="N31" i="71"/>
  <c r="Q30" i="71"/>
  <c r="P30" i="71"/>
  <c r="O30" i="71"/>
  <c r="N30" i="71"/>
  <c r="Q29" i="71"/>
  <c r="P29" i="71"/>
  <c r="O29" i="71"/>
  <c r="N29" i="71"/>
  <c r="Q28" i="71"/>
  <c r="P28" i="71"/>
  <c r="O28" i="71"/>
  <c r="N28" i="71"/>
  <c r="Q27" i="71"/>
  <c r="P27" i="71"/>
  <c r="O27" i="71"/>
  <c r="N27" i="71"/>
  <c r="Q26" i="71"/>
  <c r="P26" i="71"/>
  <c r="O26" i="71"/>
  <c r="N26" i="71"/>
  <c r="Q25" i="71"/>
  <c r="P25" i="71"/>
  <c r="O25" i="71"/>
  <c r="N25" i="71"/>
  <c r="Q24" i="71"/>
  <c r="P24" i="71"/>
  <c r="O24" i="71"/>
  <c r="N24" i="71"/>
  <c r="Q23" i="71"/>
  <c r="P23" i="71"/>
  <c r="O23" i="71"/>
  <c r="N23" i="71"/>
  <c r="Q22" i="71"/>
  <c r="P22" i="71"/>
  <c r="O22" i="71"/>
  <c r="N22" i="71"/>
  <c r="Q21" i="71"/>
  <c r="P21" i="71"/>
  <c r="O21" i="71"/>
  <c r="N21" i="71"/>
  <c r="Q20" i="71"/>
  <c r="P20" i="71"/>
  <c r="O20" i="71"/>
  <c r="N20" i="71"/>
  <c r="Q19" i="71"/>
  <c r="P19" i="71"/>
  <c r="O19" i="71"/>
  <c r="N19" i="71"/>
  <c r="Q18" i="71"/>
  <c r="P18" i="71"/>
  <c r="O18" i="71"/>
  <c r="N18" i="71"/>
  <c r="Q17" i="71"/>
  <c r="P17" i="71"/>
  <c r="O17" i="71"/>
  <c r="N17" i="71"/>
  <c r="Q16" i="71"/>
  <c r="P16" i="71"/>
  <c r="O16" i="71"/>
  <c r="N16" i="71"/>
  <c r="Q15" i="71"/>
  <c r="P15" i="71"/>
  <c r="O15" i="71"/>
  <c r="N15" i="71"/>
  <c r="Q14" i="71"/>
  <c r="P14" i="71"/>
  <c r="O14" i="71"/>
  <c r="N14" i="71"/>
  <c r="Q13" i="71"/>
  <c r="P13" i="71"/>
  <c r="O13" i="71"/>
  <c r="N13" i="71"/>
  <c r="Q12" i="71"/>
  <c r="P12" i="71"/>
  <c r="O12" i="71"/>
  <c r="N12" i="71"/>
  <c r="Q11" i="71"/>
  <c r="P11" i="71"/>
  <c r="O11" i="71"/>
  <c r="N11" i="71"/>
  <c r="Q10" i="71"/>
  <c r="P10" i="71"/>
  <c r="O10" i="71"/>
  <c r="N10" i="71"/>
  <c r="Q9" i="71"/>
  <c r="P9" i="71"/>
  <c r="O9" i="71"/>
  <c r="N9" i="71"/>
  <c r="Q8" i="71"/>
  <c r="P8" i="71"/>
  <c r="O8" i="71"/>
  <c r="N8" i="71"/>
  <c r="Q7" i="71"/>
  <c r="P7" i="71"/>
  <c r="O7" i="71"/>
  <c r="N7" i="71"/>
  <c r="Q6" i="71"/>
  <c r="P6" i="71"/>
  <c r="O6" i="71"/>
  <c r="N6" i="71"/>
  <c r="Q5" i="71"/>
  <c r="P5" i="71"/>
  <c r="O5" i="71"/>
  <c r="N5" i="71"/>
  <c r="Q4" i="71"/>
  <c r="P4" i="71"/>
  <c r="O4" i="71"/>
  <c r="N4" i="71"/>
  <c r="Q3" i="71"/>
  <c r="P3" i="71"/>
  <c r="O3" i="71"/>
  <c r="N3" i="71"/>
  <c r="Q123" i="70"/>
  <c r="P123" i="70"/>
  <c r="O123" i="70"/>
  <c r="N123" i="70"/>
  <c r="Q122" i="70"/>
  <c r="P122" i="70"/>
  <c r="O122" i="70"/>
  <c r="N122" i="70"/>
  <c r="Q121" i="70"/>
  <c r="P121" i="70"/>
  <c r="O121" i="70"/>
  <c r="N121" i="70"/>
  <c r="Q120" i="70"/>
  <c r="P120" i="70"/>
  <c r="O120" i="70"/>
  <c r="N120" i="70"/>
  <c r="Q119" i="70"/>
  <c r="P119" i="70"/>
  <c r="O119" i="70"/>
  <c r="N119" i="70"/>
  <c r="Q118" i="70"/>
  <c r="P118" i="70"/>
  <c r="O118" i="70"/>
  <c r="N118" i="70"/>
  <c r="Q117" i="70"/>
  <c r="P117" i="70"/>
  <c r="O117" i="70"/>
  <c r="N117" i="70"/>
  <c r="Q116" i="70"/>
  <c r="P116" i="70"/>
  <c r="O116" i="70"/>
  <c r="N116" i="70"/>
  <c r="Q115" i="70"/>
  <c r="P115" i="70"/>
  <c r="O115" i="70"/>
  <c r="N115" i="70"/>
  <c r="Q114" i="70"/>
  <c r="P114" i="70"/>
  <c r="O114" i="70"/>
  <c r="N114" i="70"/>
  <c r="Q113" i="70"/>
  <c r="P113" i="70"/>
  <c r="O113" i="70"/>
  <c r="N113" i="70"/>
  <c r="Q112" i="70"/>
  <c r="P112" i="70"/>
  <c r="O112" i="70"/>
  <c r="N112" i="70"/>
  <c r="Q111" i="70"/>
  <c r="P111" i="70"/>
  <c r="O111" i="70"/>
  <c r="N111" i="70"/>
  <c r="Q110" i="70"/>
  <c r="P110" i="70"/>
  <c r="O110" i="70"/>
  <c r="N110" i="70"/>
  <c r="Q109" i="70"/>
  <c r="P109" i="70"/>
  <c r="O109" i="70"/>
  <c r="N109" i="70"/>
  <c r="Q108" i="70"/>
  <c r="P108" i="70"/>
  <c r="O108" i="70"/>
  <c r="N108" i="70"/>
  <c r="Q107" i="70"/>
  <c r="P107" i="70"/>
  <c r="O107" i="70"/>
  <c r="N107" i="70"/>
  <c r="Q106" i="70"/>
  <c r="P106" i="70"/>
  <c r="O106" i="70"/>
  <c r="N106" i="70"/>
  <c r="Q105" i="70"/>
  <c r="P105" i="70"/>
  <c r="O105" i="70"/>
  <c r="N105" i="70"/>
  <c r="Q104" i="70"/>
  <c r="P104" i="70"/>
  <c r="O104" i="70"/>
  <c r="N104" i="70"/>
  <c r="Q103" i="70"/>
  <c r="P103" i="70"/>
  <c r="O103" i="70"/>
  <c r="N103" i="70"/>
  <c r="Q102" i="70"/>
  <c r="P102" i="70"/>
  <c r="O102" i="70"/>
  <c r="N102" i="70"/>
  <c r="Q101" i="70"/>
  <c r="P101" i="70"/>
  <c r="O101" i="70"/>
  <c r="N101" i="70"/>
  <c r="Q100" i="70"/>
  <c r="P100" i="70"/>
  <c r="O100" i="70"/>
  <c r="N100" i="70"/>
  <c r="Q99" i="70"/>
  <c r="P99" i="70"/>
  <c r="O99" i="70"/>
  <c r="N99" i="70"/>
  <c r="Q98" i="70"/>
  <c r="P98" i="70"/>
  <c r="O98" i="70"/>
  <c r="N98" i="70"/>
  <c r="Q97" i="70"/>
  <c r="P97" i="70"/>
  <c r="O97" i="70"/>
  <c r="N97" i="70"/>
  <c r="Q96" i="70"/>
  <c r="P96" i="70"/>
  <c r="O96" i="70"/>
  <c r="N96" i="70"/>
  <c r="Q95" i="70"/>
  <c r="P95" i="70"/>
  <c r="O95" i="70"/>
  <c r="N95" i="70"/>
  <c r="Q94" i="70"/>
  <c r="P94" i="70"/>
  <c r="O94" i="70"/>
  <c r="N94" i="70"/>
  <c r="Q93" i="70"/>
  <c r="P93" i="70"/>
  <c r="O93" i="70"/>
  <c r="N93" i="70"/>
  <c r="Q92" i="70"/>
  <c r="P92" i="70"/>
  <c r="O92" i="70"/>
  <c r="N92" i="70"/>
  <c r="Q91" i="70"/>
  <c r="P91" i="70"/>
  <c r="O91" i="70"/>
  <c r="N91" i="70"/>
  <c r="Q90" i="70"/>
  <c r="P90" i="70"/>
  <c r="O90" i="70"/>
  <c r="N90" i="70"/>
  <c r="Q89" i="70"/>
  <c r="P89" i="70"/>
  <c r="O89" i="70"/>
  <c r="N89" i="70"/>
  <c r="Q88" i="70"/>
  <c r="P88" i="70"/>
  <c r="O88" i="70"/>
  <c r="N88" i="70"/>
  <c r="Q87" i="70"/>
  <c r="P87" i="70"/>
  <c r="O87" i="70"/>
  <c r="N87" i="70"/>
  <c r="Q86" i="70"/>
  <c r="P86" i="70"/>
  <c r="O86" i="70"/>
  <c r="N86" i="70"/>
  <c r="Q85" i="70"/>
  <c r="P85" i="70"/>
  <c r="O85" i="70"/>
  <c r="N85" i="70"/>
  <c r="Q84" i="70"/>
  <c r="P84" i="70"/>
  <c r="O84" i="70"/>
  <c r="N84" i="70"/>
  <c r="Q83" i="70"/>
  <c r="P83" i="70"/>
  <c r="O83" i="70"/>
  <c r="N83" i="70"/>
  <c r="Q82" i="70"/>
  <c r="P82" i="70"/>
  <c r="O82" i="70"/>
  <c r="N82" i="70"/>
  <c r="Q81" i="70"/>
  <c r="P81" i="70"/>
  <c r="O81" i="70"/>
  <c r="N81" i="70"/>
  <c r="Q80" i="70"/>
  <c r="P80" i="70"/>
  <c r="O80" i="70"/>
  <c r="N80" i="70"/>
  <c r="Q79" i="70"/>
  <c r="P79" i="70"/>
  <c r="O79" i="70"/>
  <c r="N79" i="70"/>
  <c r="Q78" i="70"/>
  <c r="P78" i="70"/>
  <c r="O78" i="70"/>
  <c r="N78" i="70"/>
  <c r="Q77" i="70"/>
  <c r="P77" i="70"/>
  <c r="O77" i="70"/>
  <c r="N77" i="70"/>
  <c r="Q76" i="70"/>
  <c r="P76" i="70"/>
  <c r="O76" i="70"/>
  <c r="N76" i="70"/>
  <c r="Q75" i="70"/>
  <c r="P75" i="70"/>
  <c r="O75" i="70"/>
  <c r="N75" i="70"/>
  <c r="Q74" i="70"/>
  <c r="P74" i="70"/>
  <c r="O74" i="70"/>
  <c r="N74" i="70"/>
  <c r="Q73" i="70"/>
  <c r="P73" i="70"/>
  <c r="O73" i="70"/>
  <c r="N73" i="70"/>
  <c r="Q72" i="70"/>
  <c r="P72" i="70"/>
  <c r="O72" i="70"/>
  <c r="N72" i="70"/>
  <c r="Q71" i="70"/>
  <c r="P71" i="70"/>
  <c r="O71" i="70"/>
  <c r="N71" i="70"/>
  <c r="Q70" i="70"/>
  <c r="P70" i="70"/>
  <c r="O70" i="70"/>
  <c r="N70" i="70"/>
  <c r="Q69" i="70"/>
  <c r="P69" i="70"/>
  <c r="O69" i="70"/>
  <c r="N69" i="70"/>
  <c r="Q68" i="70"/>
  <c r="P68" i="70"/>
  <c r="O68" i="70"/>
  <c r="N68" i="70"/>
  <c r="Q67" i="70"/>
  <c r="P67" i="70"/>
  <c r="O67" i="70"/>
  <c r="N67" i="70"/>
  <c r="Q66" i="70"/>
  <c r="P66" i="70"/>
  <c r="O66" i="70"/>
  <c r="N66" i="70"/>
  <c r="Q65" i="70"/>
  <c r="P65" i="70"/>
  <c r="O65" i="70"/>
  <c r="N65" i="70"/>
  <c r="Q64" i="70"/>
  <c r="P64" i="70"/>
  <c r="O64" i="70"/>
  <c r="N64" i="70"/>
  <c r="Q63" i="70"/>
  <c r="P63" i="70"/>
  <c r="O63" i="70"/>
  <c r="N63" i="70"/>
  <c r="Q62" i="70"/>
  <c r="P62" i="70"/>
  <c r="O62" i="70"/>
  <c r="N62" i="70"/>
  <c r="Q61" i="70"/>
  <c r="P61" i="70"/>
  <c r="O61" i="70"/>
  <c r="N61" i="70"/>
  <c r="Q60" i="70"/>
  <c r="P60" i="70"/>
  <c r="O60" i="70"/>
  <c r="N60" i="70"/>
  <c r="Q59" i="70"/>
  <c r="P59" i="70"/>
  <c r="O59" i="70"/>
  <c r="N59" i="70"/>
  <c r="Q58" i="70"/>
  <c r="P58" i="70"/>
  <c r="O58" i="70"/>
  <c r="N58" i="70"/>
  <c r="Q57" i="70"/>
  <c r="P57" i="70"/>
  <c r="O57" i="70"/>
  <c r="N57" i="70"/>
  <c r="Q56" i="70"/>
  <c r="P56" i="70"/>
  <c r="O56" i="70"/>
  <c r="N56" i="70"/>
  <c r="Q55" i="70"/>
  <c r="P55" i="70"/>
  <c r="O55" i="70"/>
  <c r="N55" i="70"/>
  <c r="Q54" i="70"/>
  <c r="P54" i="70"/>
  <c r="O54" i="70"/>
  <c r="N54" i="70"/>
  <c r="Q53" i="70"/>
  <c r="P53" i="70"/>
  <c r="O53" i="70"/>
  <c r="N53" i="70"/>
  <c r="Q52" i="70"/>
  <c r="P52" i="70"/>
  <c r="O52" i="70"/>
  <c r="N52" i="70"/>
  <c r="Q51" i="70"/>
  <c r="P51" i="70"/>
  <c r="O51" i="70"/>
  <c r="N51" i="70"/>
  <c r="Q50" i="70"/>
  <c r="P50" i="70"/>
  <c r="O50" i="70"/>
  <c r="N50" i="70"/>
  <c r="Q49" i="70"/>
  <c r="P49" i="70"/>
  <c r="O49" i="70"/>
  <c r="N49" i="70"/>
  <c r="Q48" i="70"/>
  <c r="P48" i="70"/>
  <c r="O48" i="70"/>
  <c r="N48" i="70"/>
  <c r="Q47" i="70"/>
  <c r="P47" i="70"/>
  <c r="O47" i="70"/>
  <c r="N47" i="70"/>
  <c r="Q46" i="70"/>
  <c r="P46" i="70"/>
  <c r="O46" i="70"/>
  <c r="N46" i="70"/>
  <c r="Q45" i="70"/>
  <c r="P45" i="70"/>
  <c r="O45" i="70"/>
  <c r="N45" i="70"/>
  <c r="Q44" i="70"/>
  <c r="P44" i="70"/>
  <c r="O44" i="70"/>
  <c r="N44" i="70"/>
  <c r="Q43" i="70"/>
  <c r="P43" i="70"/>
  <c r="O43" i="70"/>
  <c r="N43" i="70"/>
  <c r="Q42" i="70"/>
  <c r="P42" i="70"/>
  <c r="O42" i="70"/>
  <c r="N42" i="70"/>
  <c r="Q41" i="70"/>
  <c r="P41" i="70"/>
  <c r="O41" i="70"/>
  <c r="N41" i="70"/>
  <c r="Q40" i="70"/>
  <c r="P40" i="70"/>
  <c r="O40" i="70"/>
  <c r="N40" i="70"/>
  <c r="Q39" i="70"/>
  <c r="P39" i="70"/>
  <c r="O39" i="70"/>
  <c r="N39" i="70"/>
  <c r="Q38" i="70"/>
  <c r="P38" i="70"/>
  <c r="O38" i="70"/>
  <c r="N38" i="70"/>
  <c r="Q37" i="70"/>
  <c r="P37" i="70"/>
  <c r="O37" i="70"/>
  <c r="N37" i="70"/>
  <c r="Q36" i="70"/>
  <c r="P36" i="70"/>
  <c r="O36" i="70"/>
  <c r="N36" i="70"/>
  <c r="Q35" i="70"/>
  <c r="P35" i="70"/>
  <c r="O35" i="70"/>
  <c r="N35" i="70"/>
  <c r="Q34" i="70"/>
  <c r="P34" i="70"/>
  <c r="O34" i="70"/>
  <c r="N34" i="70"/>
  <c r="Q33" i="70"/>
  <c r="P33" i="70"/>
  <c r="O33" i="70"/>
  <c r="N33" i="70"/>
  <c r="Q32" i="70"/>
  <c r="P32" i="70"/>
  <c r="O32" i="70"/>
  <c r="N32" i="70"/>
  <c r="Q31" i="70"/>
  <c r="P31" i="70"/>
  <c r="O31" i="70"/>
  <c r="N31" i="70"/>
  <c r="Q30" i="70"/>
  <c r="P30" i="70"/>
  <c r="O30" i="70"/>
  <c r="N30" i="70"/>
  <c r="Q29" i="70"/>
  <c r="P29" i="70"/>
  <c r="O29" i="70"/>
  <c r="N29" i="70"/>
  <c r="Q28" i="70"/>
  <c r="P28" i="70"/>
  <c r="O28" i="70"/>
  <c r="N28" i="70"/>
  <c r="Q27" i="70"/>
  <c r="P27" i="70"/>
  <c r="O27" i="70"/>
  <c r="N27" i="70"/>
  <c r="Q26" i="70"/>
  <c r="P26" i="70"/>
  <c r="O26" i="70"/>
  <c r="N26" i="70"/>
  <c r="Q25" i="70"/>
  <c r="P25" i="70"/>
  <c r="O25" i="70"/>
  <c r="N25" i="70"/>
  <c r="Q24" i="70"/>
  <c r="P24" i="70"/>
  <c r="O24" i="70"/>
  <c r="N24" i="70"/>
  <c r="Q23" i="70"/>
  <c r="P23" i="70"/>
  <c r="O23" i="70"/>
  <c r="N23" i="70"/>
  <c r="Q22" i="70"/>
  <c r="P22" i="70"/>
  <c r="O22" i="70"/>
  <c r="N22" i="70"/>
  <c r="Q21" i="70"/>
  <c r="P21" i="70"/>
  <c r="O21" i="70"/>
  <c r="N21" i="70"/>
  <c r="Q20" i="70"/>
  <c r="P20" i="70"/>
  <c r="O20" i="70"/>
  <c r="N20" i="70"/>
  <c r="Q19" i="70"/>
  <c r="P19" i="70"/>
  <c r="O19" i="70"/>
  <c r="N19" i="70"/>
  <c r="Q18" i="70"/>
  <c r="P18" i="70"/>
  <c r="O18" i="70"/>
  <c r="N18" i="70"/>
  <c r="Q17" i="70"/>
  <c r="P17" i="70"/>
  <c r="O17" i="70"/>
  <c r="N17" i="70"/>
  <c r="Q16" i="70"/>
  <c r="P16" i="70"/>
  <c r="O16" i="70"/>
  <c r="N16" i="70"/>
  <c r="Q15" i="70"/>
  <c r="P15" i="70"/>
  <c r="O15" i="70"/>
  <c r="N15" i="70"/>
  <c r="Q14" i="70"/>
  <c r="P14" i="70"/>
  <c r="O14" i="70"/>
  <c r="N14" i="70"/>
  <c r="Q13" i="70"/>
  <c r="P13" i="70"/>
  <c r="O13" i="70"/>
  <c r="N13" i="70"/>
  <c r="Q12" i="70"/>
  <c r="P12" i="70"/>
  <c r="O12" i="70"/>
  <c r="N12" i="70"/>
  <c r="Q11" i="70"/>
  <c r="P11" i="70"/>
  <c r="O11" i="70"/>
  <c r="N11" i="70"/>
  <c r="Q10" i="70"/>
  <c r="P10" i="70"/>
  <c r="O10" i="70"/>
  <c r="N10" i="70"/>
  <c r="Q9" i="70"/>
  <c r="P9" i="70"/>
  <c r="O9" i="70"/>
  <c r="N9" i="70"/>
  <c r="Q8" i="70"/>
  <c r="P8" i="70"/>
  <c r="O8" i="70"/>
  <c r="N8" i="70"/>
  <c r="Q7" i="70"/>
  <c r="P7" i="70"/>
  <c r="O7" i="70"/>
  <c r="N7" i="70"/>
  <c r="Q6" i="70"/>
  <c r="P6" i="70"/>
  <c r="O6" i="70"/>
  <c r="N6" i="70"/>
  <c r="Q5" i="70"/>
  <c r="P5" i="70"/>
  <c r="O5" i="70"/>
  <c r="N5" i="70"/>
  <c r="Q4" i="70"/>
  <c r="P4" i="70"/>
  <c r="O4" i="70"/>
  <c r="N4" i="70"/>
  <c r="Q3" i="70"/>
  <c r="P3" i="70"/>
  <c r="O3" i="70"/>
  <c r="N3" i="70"/>
  <c r="Q123" i="69"/>
  <c r="P123" i="69"/>
  <c r="O123" i="69"/>
  <c r="N123" i="69"/>
  <c r="Q122" i="69"/>
  <c r="P122" i="69"/>
  <c r="O122" i="69"/>
  <c r="N122" i="69"/>
  <c r="Q121" i="69"/>
  <c r="P121" i="69"/>
  <c r="O121" i="69"/>
  <c r="N121" i="69"/>
  <c r="Q120" i="69"/>
  <c r="P120" i="69"/>
  <c r="O120" i="69"/>
  <c r="N120" i="69"/>
  <c r="Q119" i="69"/>
  <c r="P119" i="69"/>
  <c r="O119" i="69"/>
  <c r="N119" i="69"/>
  <c r="Q118" i="69"/>
  <c r="P118" i="69"/>
  <c r="O118" i="69"/>
  <c r="N118" i="69"/>
  <c r="Q117" i="69"/>
  <c r="P117" i="69"/>
  <c r="O117" i="69"/>
  <c r="N117" i="69"/>
  <c r="Q116" i="69"/>
  <c r="P116" i="69"/>
  <c r="O116" i="69"/>
  <c r="N116" i="69"/>
  <c r="Q115" i="69"/>
  <c r="P115" i="69"/>
  <c r="O115" i="69"/>
  <c r="N115" i="69"/>
  <c r="Q114" i="69"/>
  <c r="P114" i="69"/>
  <c r="O114" i="69"/>
  <c r="N114" i="69"/>
  <c r="Q113" i="69"/>
  <c r="P113" i="69"/>
  <c r="O113" i="69"/>
  <c r="N113" i="69"/>
  <c r="Q112" i="69"/>
  <c r="P112" i="69"/>
  <c r="O112" i="69"/>
  <c r="N112" i="69"/>
  <c r="Q111" i="69"/>
  <c r="P111" i="69"/>
  <c r="O111" i="69"/>
  <c r="N111" i="69"/>
  <c r="Q110" i="69"/>
  <c r="P110" i="69"/>
  <c r="O110" i="69"/>
  <c r="N110" i="69"/>
  <c r="Q109" i="69"/>
  <c r="P109" i="69"/>
  <c r="O109" i="69"/>
  <c r="N109" i="69"/>
  <c r="Q108" i="69"/>
  <c r="P108" i="69"/>
  <c r="O108" i="69"/>
  <c r="N108" i="69"/>
  <c r="Q107" i="69"/>
  <c r="P107" i="69"/>
  <c r="O107" i="69"/>
  <c r="N107" i="69"/>
  <c r="Q106" i="69"/>
  <c r="P106" i="69"/>
  <c r="O106" i="69"/>
  <c r="N106" i="69"/>
  <c r="Q105" i="69"/>
  <c r="P105" i="69"/>
  <c r="O105" i="69"/>
  <c r="N105" i="69"/>
  <c r="Q104" i="69"/>
  <c r="P104" i="69"/>
  <c r="O104" i="69"/>
  <c r="N104" i="69"/>
  <c r="Q103" i="69"/>
  <c r="P103" i="69"/>
  <c r="O103" i="69"/>
  <c r="N103" i="69"/>
  <c r="Q102" i="69"/>
  <c r="P102" i="69"/>
  <c r="O102" i="69"/>
  <c r="N102" i="69"/>
  <c r="Q101" i="69"/>
  <c r="P101" i="69"/>
  <c r="O101" i="69"/>
  <c r="N101" i="69"/>
  <c r="Q100" i="69"/>
  <c r="P100" i="69"/>
  <c r="O100" i="69"/>
  <c r="N100" i="69"/>
  <c r="Q99" i="69"/>
  <c r="P99" i="69"/>
  <c r="O99" i="69"/>
  <c r="N99" i="69"/>
  <c r="Q98" i="69"/>
  <c r="P98" i="69"/>
  <c r="O98" i="69"/>
  <c r="N98" i="69"/>
  <c r="Q97" i="69"/>
  <c r="P97" i="69"/>
  <c r="O97" i="69"/>
  <c r="N97" i="69"/>
  <c r="Q96" i="69"/>
  <c r="P96" i="69"/>
  <c r="O96" i="69"/>
  <c r="N96" i="69"/>
  <c r="Q95" i="69"/>
  <c r="P95" i="69"/>
  <c r="O95" i="69"/>
  <c r="N95" i="69"/>
  <c r="Q94" i="69"/>
  <c r="P94" i="69"/>
  <c r="O94" i="69"/>
  <c r="N94" i="69"/>
  <c r="Q93" i="69"/>
  <c r="P93" i="69"/>
  <c r="O93" i="69"/>
  <c r="N93" i="69"/>
  <c r="Q92" i="69"/>
  <c r="P92" i="69"/>
  <c r="O92" i="69"/>
  <c r="N92" i="69"/>
  <c r="Q91" i="69"/>
  <c r="P91" i="69"/>
  <c r="O91" i="69"/>
  <c r="N91" i="69"/>
  <c r="Q90" i="69"/>
  <c r="P90" i="69"/>
  <c r="O90" i="69"/>
  <c r="N90" i="69"/>
  <c r="Q89" i="69"/>
  <c r="P89" i="69"/>
  <c r="O89" i="69"/>
  <c r="N89" i="69"/>
  <c r="Q88" i="69"/>
  <c r="P88" i="69"/>
  <c r="O88" i="69"/>
  <c r="N88" i="69"/>
  <c r="Q87" i="69"/>
  <c r="P87" i="69"/>
  <c r="O87" i="69"/>
  <c r="N87" i="69"/>
  <c r="Q86" i="69"/>
  <c r="P86" i="69"/>
  <c r="O86" i="69"/>
  <c r="N86" i="69"/>
  <c r="Q85" i="69"/>
  <c r="P85" i="69"/>
  <c r="O85" i="69"/>
  <c r="N85" i="69"/>
  <c r="Q84" i="69"/>
  <c r="P84" i="69"/>
  <c r="O84" i="69"/>
  <c r="N84" i="69"/>
  <c r="Q83" i="69"/>
  <c r="P83" i="69"/>
  <c r="O83" i="69"/>
  <c r="N83" i="69"/>
  <c r="Q82" i="69"/>
  <c r="P82" i="69"/>
  <c r="O82" i="69"/>
  <c r="N82" i="69"/>
  <c r="Q81" i="69"/>
  <c r="P81" i="69"/>
  <c r="O81" i="69"/>
  <c r="N81" i="69"/>
  <c r="Q80" i="69"/>
  <c r="P80" i="69"/>
  <c r="O80" i="69"/>
  <c r="N80" i="69"/>
  <c r="Q79" i="69"/>
  <c r="P79" i="69"/>
  <c r="O79" i="69"/>
  <c r="N79" i="69"/>
  <c r="Q78" i="69"/>
  <c r="P78" i="69"/>
  <c r="O78" i="69"/>
  <c r="N78" i="69"/>
  <c r="Q77" i="69"/>
  <c r="P77" i="69"/>
  <c r="O77" i="69"/>
  <c r="N77" i="69"/>
  <c r="Q76" i="69"/>
  <c r="P76" i="69"/>
  <c r="O76" i="69"/>
  <c r="N76" i="69"/>
  <c r="Q75" i="69"/>
  <c r="P75" i="69"/>
  <c r="O75" i="69"/>
  <c r="N75" i="69"/>
  <c r="Q74" i="69"/>
  <c r="P74" i="69"/>
  <c r="O74" i="69"/>
  <c r="N74" i="69"/>
  <c r="Q73" i="69"/>
  <c r="P73" i="69"/>
  <c r="O73" i="69"/>
  <c r="N73" i="69"/>
  <c r="Q72" i="69"/>
  <c r="P72" i="69"/>
  <c r="O72" i="69"/>
  <c r="N72" i="69"/>
  <c r="Q71" i="69"/>
  <c r="P71" i="69"/>
  <c r="O71" i="69"/>
  <c r="N71" i="69"/>
  <c r="Q70" i="69"/>
  <c r="P70" i="69"/>
  <c r="O70" i="69"/>
  <c r="N70" i="69"/>
  <c r="Q69" i="69"/>
  <c r="P69" i="69"/>
  <c r="O69" i="69"/>
  <c r="N69" i="69"/>
  <c r="Q68" i="69"/>
  <c r="P68" i="69"/>
  <c r="O68" i="69"/>
  <c r="N68" i="69"/>
  <c r="Q67" i="69"/>
  <c r="P67" i="69"/>
  <c r="O67" i="69"/>
  <c r="N67" i="69"/>
  <c r="Q66" i="69"/>
  <c r="P66" i="69"/>
  <c r="O66" i="69"/>
  <c r="N66" i="69"/>
  <c r="Q65" i="69"/>
  <c r="P65" i="69"/>
  <c r="O65" i="69"/>
  <c r="N65" i="69"/>
  <c r="Q64" i="69"/>
  <c r="P64" i="69"/>
  <c r="O64" i="69"/>
  <c r="N64" i="69"/>
  <c r="Q63" i="69"/>
  <c r="P63" i="69"/>
  <c r="O63" i="69"/>
  <c r="N63" i="69"/>
  <c r="Q62" i="69"/>
  <c r="P62" i="69"/>
  <c r="O62" i="69"/>
  <c r="N62" i="69"/>
  <c r="Q61" i="69"/>
  <c r="P61" i="69"/>
  <c r="O61" i="69"/>
  <c r="N61" i="69"/>
  <c r="Q60" i="69"/>
  <c r="P60" i="69"/>
  <c r="O60" i="69"/>
  <c r="N60" i="69"/>
  <c r="Q59" i="69"/>
  <c r="P59" i="69"/>
  <c r="O59" i="69"/>
  <c r="N59" i="69"/>
  <c r="Q58" i="69"/>
  <c r="P58" i="69"/>
  <c r="O58" i="69"/>
  <c r="N58" i="69"/>
  <c r="Q57" i="69"/>
  <c r="P57" i="69"/>
  <c r="O57" i="69"/>
  <c r="N57" i="69"/>
  <c r="Q56" i="69"/>
  <c r="P56" i="69"/>
  <c r="O56" i="69"/>
  <c r="N56" i="69"/>
  <c r="Q55" i="69"/>
  <c r="P55" i="69"/>
  <c r="O55" i="69"/>
  <c r="N55" i="69"/>
  <c r="Q54" i="69"/>
  <c r="P54" i="69"/>
  <c r="O54" i="69"/>
  <c r="N54" i="69"/>
  <c r="Q53" i="69"/>
  <c r="P53" i="69"/>
  <c r="O53" i="69"/>
  <c r="N53" i="69"/>
  <c r="Q52" i="69"/>
  <c r="P52" i="69"/>
  <c r="O52" i="69"/>
  <c r="N52" i="69"/>
  <c r="Q51" i="69"/>
  <c r="P51" i="69"/>
  <c r="O51" i="69"/>
  <c r="N51" i="69"/>
  <c r="Q50" i="69"/>
  <c r="P50" i="69"/>
  <c r="O50" i="69"/>
  <c r="N50" i="69"/>
  <c r="Q49" i="69"/>
  <c r="P49" i="69"/>
  <c r="O49" i="69"/>
  <c r="N49" i="69"/>
  <c r="Q48" i="69"/>
  <c r="P48" i="69"/>
  <c r="O48" i="69"/>
  <c r="N48" i="69"/>
  <c r="Q47" i="69"/>
  <c r="P47" i="69"/>
  <c r="O47" i="69"/>
  <c r="N47" i="69"/>
  <c r="Q46" i="69"/>
  <c r="P46" i="69"/>
  <c r="O46" i="69"/>
  <c r="N46" i="69"/>
  <c r="Q45" i="69"/>
  <c r="P45" i="69"/>
  <c r="O45" i="69"/>
  <c r="N45" i="69"/>
  <c r="Q44" i="69"/>
  <c r="P44" i="69"/>
  <c r="O44" i="69"/>
  <c r="N44" i="69"/>
  <c r="Q43" i="69"/>
  <c r="P43" i="69"/>
  <c r="O43" i="69"/>
  <c r="N43" i="69"/>
  <c r="Q42" i="69"/>
  <c r="P42" i="69"/>
  <c r="O42" i="69"/>
  <c r="N42" i="69"/>
  <c r="Q41" i="69"/>
  <c r="P41" i="69"/>
  <c r="O41" i="69"/>
  <c r="N41" i="69"/>
  <c r="Q40" i="69"/>
  <c r="P40" i="69"/>
  <c r="O40" i="69"/>
  <c r="N40" i="69"/>
  <c r="Q39" i="69"/>
  <c r="P39" i="69"/>
  <c r="O39" i="69"/>
  <c r="N39" i="69"/>
  <c r="Q38" i="69"/>
  <c r="P38" i="69"/>
  <c r="O38" i="69"/>
  <c r="N38" i="69"/>
  <c r="Q37" i="69"/>
  <c r="P37" i="69"/>
  <c r="O37" i="69"/>
  <c r="N37" i="69"/>
  <c r="Q36" i="69"/>
  <c r="P36" i="69"/>
  <c r="O36" i="69"/>
  <c r="N36" i="69"/>
  <c r="Q35" i="69"/>
  <c r="P35" i="69"/>
  <c r="O35" i="69"/>
  <c r="N35" i="69"/>
  <c r="Q34" i="69"/>
  <c r="P34" i="69"/>
  <c r="O34" i="69"/>
  <c r="N34" i="69"/>
  <c r="Q33" i="69"/>
  <c r="P33" i="69"/>
  <c r="O33" i="69"/>
  <c r="N33" i="69"/>
  <c r="Q32" i="69"/>
  <c r="P32" i="69"/>
  <c r="O32" i="69"/>
  <c r="N32" i="69"/>
  <c r="Q31" i="69"/>
  <c r="P31" i="69"/>
  <c r="O31" i="69"/>
  <c r="N31" i="69"/>
  <c r="Q30" i="69"/>
  <c r="P30" i="69"/>
  <c r="O30" i="69"/>
  <c r="N30" i="69"/>
  <c r="Q29" i="69"/>
  <c r="P29" i="69"/>
  <c r="O29" i="69"/>
  <c r="N29" i="69"/>
  <c r="Q28" i="69"/>
  <c r="P28" i="69"/>
  <c r="O28" i="69"/>
  <c r="N28" i="69"/>
  <c r="Q27" i="69"/>
  <c r="P27" i="69"/>
  <c r="O27" i="69"/>
  <c r="N27" i="69"/>
  <c r="Q26" i="69"/>
  <c r="P26" i="69"/>
  <c r="O26" i="69"/>
  <c r="N26" i="69"/>
  <c r="Q25" i="69"/>
  <c r="P25" i="69"/>
  <c r="O25" i="69"/>
  <c r="N25" i="69"/>
  <c r="Q24" i="69"/>
  <c r="P24" i="69"/>
  <c r="O24" i="69"/>
  <c r="N24" i="69"/>
  <c r="Q23" i="69"/>
  <c r="P23" i="69"/>
  <c r="O23" i="69"/>
  <c r="N23" i="69"/>
  <c r="Q22" i="69"/>
  <c r="P22" i="69"/>
  <c r="O22" i="69"/>
  <c r="N22" i="69"/>
  <c r="Q21" i="69"/>
  <c r="P21" i="69"/>
  <c r="O21" i="69"/>
  <c r="N21" i="69"/>
  <c r="Q20" i="69"/>
  <c r="P20" i="69"/>
  <c r="O20" i="69"/>
  <c r="N20" i="69"/>
  <c r="Q19" i="69"/>
  <c r="P19" i="69"/>
  <c r="O19" i="69"/>
  <c r="N19" i="69"/>
  <c r="Q18" i="69"/>
  <c r="P18" i="69"/>
  <c r="O18" i="69"/>
  <c r="N18" i="69"/>
  <c r="Q17" i="69"/>
  <c r="P17" i="69"/>
  <c r="O17" i="69"/>
  <c r="N17" i="69"/>
  <c r="Q16" i="69"/>
  <c r="P16" i="69"/>
  <c r="O16" i="69"/>
  <c r="N16" i="69"/>
  <c r="Q15" i="69"/>
  <c r="P15" i="69"/>
  <c r="O15" i="69"/>
  <c r="N15" i="69"/>
  <c r="Q14" i="69"/>
  <c r="P14" i="69"/>
  <c r="O14" i="69"/>
  <c r="N14" i="69"/>
  <c r="Q13" i="69"/>
  <c r="P13" i="69"/>
  <c r="O13" i="69"/>
  <c r="N13" i="69"/>
  <c r="Q12" i="69"/>
  <c r="P12" i="69"/>
  <c r="O12" i="69"/>
  <c r="N12" i="69"/>
  <c r="Q11" i="69"/>
  <c r="P11" i="69"/>
  <c r="O11" i="69"/>
  <c r="N11" i="69"/>
  <c r="Q10" i="69"/>
  <c r="P10" i="69"/>
  <c r="O10" i="69"/>
  <c r="N10" i="69"/>
  <c r="Q9" i="69"/>
  <c r="P9" i="69"/>
  <c r="O9" i="69"/>
  <c r="N9" i="69"/>
  <c r="Q8" i="69"/>
  <c r="P8" i="69"/>
  <c r="O8" i="69"/>
  <c r="N8" i="69"/>
  <c r="Q7" i="69"/>
  <c r="P7" i="69"/>
  <c r="O7" i="69"/>
  <c r="N7" i="69"/>
  <c r="Q6" i="69"/>
  <c r="P6" i="69"/>
  <c r="O6" i="69"/>
  <c r="N6" i="69"/>
  <c r="Q5" i="69"/>
  <c r="P5" i="69"/>
  <c r="O5" i="69"/>
  <c r="N5" i="69"/>
  <c r="Q4" i="69"/>
  <c r="P4" i="69"/>
  <c r="O4" i="69"/>
  <c r="N4" i="69"/>
  <c r="Q3" i="69"/>
  <c r="P3" i="69"/>
  <c r="O3" i="69"/>
  <c r="N3" i="69"/>
  <c r="Q123" i="68"/>
  <c r="P123" i="68"/>
  <c r="O123" i="68"/>
  <c r="N123" i="68"/>
  <c r="Q122" i="68"/>
  <c r="P122" i="68"/>
  <c r="O122" i="68"/>
  <c r="N122" i="68"/>
  <c r="Q121" i="68"/>
  <c r="P121" i="68"/>
  <c r="O121" i="68"/>
  <c r="N121" i="68"/>
  <c r="Q120" i="68"/>
  <c r="P120" i="68"/>
  <c r="O120" i="68"/>
  <c r="N120" i="68"/>
  <c r="Q119" i="68"/>
  <c r="P119" i="68"/>
  <c r="O119" i="68"/>
  <c r="N119" i="68"/>
  <c r="Q118" i="68"/>
  <c r="P118" i="68"/>
  <c r="O118" i="68"/>
  <c r="N118" i="68"/>
  <c r="Q117" i="68"/>
  <c r="P117" i="68"/>
  <c r="O117" i="68"/>
  <c r="N117" i="68"/>
  <c r="Q116" i="68"/>
  <c r="P116" i="68"/>
  <c r="O116" i="68"/>
  <c r="N116" i="68"/>
  <c r="Q115" i="68"/>
  <c r="P115" i="68"/>
  <c r="O115" i="68"/>
  <c r="N115" i="68"/>
  <c r="Q114" i="68"/>
  <c r="P114" i="68"/>
  <c r="O114" i="68"/>
  <c r="N114" i="68"/>
  <c r="Q113" i="68"/>
  <c r="P113" i="68"/>
  <c r="O113" i="68"/>
  <c r="N113" i="68"/>
  <c r="Q112" i="68"/>
  <c r="P112" i="68"/>
  <c r="O112" i="68"/>
  <c r="N112" i="68"/>
  <c r="Q111" i="68"/>
  <c r="P111" i="68"/>
  <c r="O111" i="68"/>
  <c r="N111" i="68"/>
  <c r="Q110" i="68"/>
  <c r="P110" i="68"/>
  <c r="O110" i="68"/>
  <c r="N110" i="68"/>
  <c r="Q109" i="68"/>
  <c r="P109" i="68"/>
  <c r="O109" i="68"/>
  <c r="N109" i="68"/>
  <c r="Q108" i="68"/>
  <c r="P108" i="68"/>
  <c r="O108" i="68"/>
  <c r="N108" i="68"/>
  <c r="Q107" i="68"/>
  <c r="P107" i="68"/>
  <c r="O107" i="68"/>
  <c r="N107" i="68"/>
  <c r="Q106" i="68"/>
  <c r="P106" i="68"/>
  <c r="O106" i="68"/>
  <c r="N106" i="68"/>
  <c r="Q105" i="68"/>
  <c r="P105" i="68"/>
  <c r="O105" i="68"/>
  <c r="N105" i="68"/>
  <c r="Q104" i="68"/>
  <c r="P104" i="68"/>
  <c r="O104" i="68"/>
  <c r="N104" i="68"/>
  <c r="Q103" i="68"/>
  <c r="P103" i="68"/>
  <c r="O103" i="68"/>
  <c r="N103" i="68"/>
  <c r="Q102" i="68"/>
  <c r="P102" i="68"/>
  <c r="O102" i="68"/>
  <c r="N102" i="68"/>
  <c r="Q101" i="68"/>
  <c r="P101" i="68"/>
  <c r="O101" i="68"/>
  <c r="N101" i="68"/>
  <c r="Q100" i="68"/>
  <c r="P100" i="68"/>
  <c r="O100" i="68"/>
  <c r="N100" i="68"/>
  <c r="Q99" i="68"/>
  <c r="P99" i="68"/>
  <c r="O99" i="68"/>
  <c r="N99" i="68"/>
  <c r="Q98" i="68"/>
  <c r="P98" i="68"/>
  <c r="O98" i="68"/>
  <c r="N98" i="68"/>
  <c r="Q97" i="68"/>
  <c r="P97" i="68"/>
  <c r="O97" i="68"/>
  <c r="N97" i="68"/>
  <c r="Q96" i="68"/>
  <c r="P96" i="68"/>
  <c r="O96" i="68"/>
  <c r="N96" i="68"/>
  <c r="Q95" i="68"/>
  <c r="P95" i="68"/>
  <c r="O95" i="68"/>
  <c r="N95" i="68"/>
  <c r="Q94" i="68"/>
  <c r="P94" i="68"/>
  <c r="O94" i="68"/>
  <c r="N94" i="68"/>
  <c r="Q93" i="68"/>
  <c r="P93" i="68"/>
  <c r="O93" i="68"/>
  <c r="N93" i="68"/>
  <c r="Q92" i="68"/>
  <c r="P92" i="68"/>
  <c r="O92" i="68"/>
  <c r="N92" i="68"/>
  <c r="Q91" i="68"/>
  <c r="P91" i="68"/>
  <c r="O91" i="68"/>
  <c r="N91" i="68"/>
  <c r="Q90" i="68"/>
  <c r="P90" i="68"/>
  <c r="O90" i="68"/>
  <c r="N90" i="68"/>
  <c r="Q89" i="68"/>
  <c r="P89" i="68"/>
  <c r="O89" i="68"/>
  <c r="N89" i="68"/>
  <c r="Q88" i="68"/>
  <c r="P88" i="68"/>
  <c r="O88" i="68"/>
  <c r="N88" i="68"/>
  <c r="Q87" i="68"/>
  <c r="P87" i="68"/>
  <c r="O87" i="68"/>
  <c r="N87" i="68"/>
  <c r="Q86" i="68"/>
  <c r="P86" i="68"/>
  <c r="O86" i="68"/>
  <c r="N86" i="68"/>
  <c r="Q85" i="68"/>
  <c r="P85" i="68"/>
  <c r="O85" i="68"/>
  <c r="N85" i="68"/>
  <c r="Q84" i="68"/>
  <c r="P84" i="68"/>
  <c r="O84" i="68"/>
  <c r="N84" i="68"/>
  <c r="Q83" i="68"/>
  <c r="P83" i="68"/>
  <c r="O83" i="68"/>
  <c r="N83" i="68"/>
  <c r="Q82" i="68"/>
  <c r="P82" i="68"/>
  <c r="O82" i="68"/>
  <c r="N82" i="68"/>
  <c r="Q81" i="68"/>
  <c r="P81" i="68"/>
  <c r="O81" i="68"/>
  <c r="N81" i="68"/>
  <c r="Q80" i="68"/>
  <c r="P80" i="68"/>
  <c r="O80" i="68"/>
  <c r="N80" i="68"/>
  <c r="Q79" i="68"/>
  <c r="P79" i="68"/>
  <c r="O79" i="68"/>
  <c r="N79" i="68"/>
  <c r="Q78" i="68"/>
  <c r="P78" i="68"/>
  <c r="O78" i="68"/>
  <c r="N78" i="68"/>
  <c r="Q77" i="68"/>
  <c r="P77" i="68"/>
  <c r="O77" i="68"/>
  <c r="N77" i="68"/>
  <c r="Q76" i="68"/>
  <c r="P76" i="68"/>
  <c r="O76" i="68"/>
  <c r="N76" i="68"/>
  <c r="Q75" i="68"/>
  <c r="P75" i="68"/>
  <c r="O75" i="68"/>
  <c r="N75" i="68"/>
  <c r="Q74" i="68"/>
  <c r="P74" i="68"/>
  <c r="O74" i="68"/>
  <c r="N74" i="68"/>
  <c r="Q73" i="68"/>
  <c r="P73" i="68"/>
  <c r="O73" i="68"/>
  <c r="N73" i="68"/>
  <c r="Q72" i="68"/>
  <c r="P72" i="68"/>
  <c r="O72" i="68"/>
  <c r="N72" i="68"/>
  <c r="Q71" i="68"/>
  <c r="P71" i="68"/>
  <c r="O71" i="68"/>
  <c r="N71" i="68"/>
  <c r="Q70" i="68"/>
  <c r="P70" i="68"/>
  <c r="O70" i="68"/>
  <c r="N70" i="68"/>
  <c r="Q69" i="68"/>
  <c r="P69" i="68"/>
  <c r="O69" i="68"/>
  <c r="N69" i="68"/>
  <c r="Q68" i="68"/>
  <c r="P68" i="68"/>
  <c r="O68" i="68"/>
  <c r="N68" i="68"/>
  <c r="Q67" i="68"/>
  <c r="P67" i="68"/>
  <c r="O67" i="68"/>
  <c r="N67" i="68"/>
  <c r="Q66" i="68"/>
  <c r="P66" i="68"/>
  <c r="O66" i="68"/>
  <c r="N66" i="68"/>
  <c r="Q65" i="68"/>
  <c r="P65" i="68"/>
  <c r="O65" i="68"/>
  <c r="N65" i="68"/>
  <c r="Q64" i="68"/>
  <c r="P64" i="68"/>
  <c r="O64" i="68"/>
  <c r="N64" i="68"/>
  <c r="Q63" i="68"/>
  <c r="P63" i="68"/>
  <c r="O63" i="68"/>
  <c r="N63" i="68"/>
  <c r="Q62" i="68"/>
  <c r="P62" i="68"/>
  <c r="O62" i="68"/>
  <c r="N62" i="68"/>
  <c r="Q61" i="68"/>
  <c r="P61" i="68"/>
  <c r="O61" i="68"/>
  <c r="N61" i="68"/>
  <c r="Q60" i="68"/>
  <c r="P60" i="68"/>
  <c r="O60" i="68"/>
  <c r="N60" i="68"/>
  <c r="Q59" i="68"/>
  <c r="P59" i="68"/>
  <c r="O59" i="68"/>
  <c r="N59" i="68"/>
  <c r="Q58" i="68"/>
  <c r="P58" i="68"/>
  <c r="O58" i="68"/>
  <c r="N58" i="68"/>
  <c r="Q57" i="68"/>
  <c r="P57" i="68"/>
  <c r="O57" i="68"/>
  <c r="N57" i="68"/>
  <c r="Q56" i="68"/>
  <c r="P56" i="68"/>
  <c r="O56" i="68"/>
  <c r="N56" i="68"/>
  <c r="Q55" i="68"/>
  <c r="P55" i="68"/>
  <c r="O55" i="68"/>
  <c r="N55" i="68"/>
  <c r="Q54" i="68"/>
  <c r="P54" i="68"/>
  <c r="O54" i="68"/>
  <c r="N54" i="68"/>
  <c r="Q53" i="68"/>
  <c r="P53" i="68"/>
  <c r="O53" i="68"/>
  <c r="N53" i="68"/>
  <c r="Q52" i="68"/>
  <c r="P52" i="68"/>
  <c r="O52" i="68"/>
  <c r="N52" i="68"/>
  <c r="Q51" i="68"/>
  <c r="P51" i="68"/>
  <c r="O51" i="68"/>
  <c r="N51" i="68"/>
  <c r="Q50" i="68"/>
  <c r="P50" i="68"/>
  <c r="O50" i="68"/>
  <c r="N50" i="68"/>
  <c r="Q49" i="68"/>
  <c r="P49" i="68"/>
  <c r="O49" i="68"/>
  <c r="N49" i="68"/>
  <c r="Q48" i="68"/>
  <c r="P48" i="68"/>
  <c r="O48" i="68"/>
  <c r="N48" i="68"/>
  <c r="Q47" i="68"/>
  <c r="P47" i="68"/>
  <c r="O47" i="68"/>
  <c r="N47" i="68"/>
  <c r="Q46" i="68"/>
  <c r="P46" i="68"/>
  <c r="O46" i="68"/>
  <c r="N46" i="68"/>
  <c r="Q45" i="68"/>
  <c r="P45" i="68"/>
  <c r="O45" i="68"/>
  <c r="N45" i="68"/>
  <c r="Q44" i="68"/>
  <c r="P44" i="68"/>
  <c r="O44" i="68"/>
  <c r="N44" i="68"/>
  <c r="Q43" i="68"/>
  <c r="P43" i="68"/>
  <c r="O43" i="68"/>
  <c r="N43" i="68"/>
  <c r="Q42" i="68"/>
  <c r="P42" i="68"/>
  <c r="O42" i="68"/>
  <c r="N42" i="68"/>
  <c r="Q41" i="68"/>
  <c r="P41" i="68"/>
  <c r="O41" i="68"/>
  <c r="N41" i="68"/>
  <c r="Q40" i="68"/>
  <c r="P40" i="68"/>
  <c r="O40" i="68"/>
  <c r="N40" i="68"/>
  <c r="Q39" i="68"/>
  <c r="P39" i="68"/>
  <c r="O39" i="68"/>
  <c r="N39" i="68"/>
  <c r="Q38" i="68"/>
  <c r="P38" i="68"/>
  <c r="O38" i="68"/>
  <c r="N38" i="68"/>
  <c r="Q37" i="68"/>
  <c r="P37" i="68"/>
  <c r="O37" i="68"/>
  <c r="N37" i="68"/>
  <c r="Q36" i="68"/>
  <c r="P36" i="68"/>
  <c r="O36" i="68"/>
  <c r="N36" i="68"/>
  <c r="Q35" i="68"/>
  <c r="P35" i="68"/>
  <c r="O35" i="68"/>
  <c r="N35" i="68"/>
  <c r="Q34" i="68"/>
  <c r="P34" i="68"/>
  <c r="O34" i="68"/>
  <c r="N34" i="68"/>
  <c r="Q33" i="68"/>
  <c r="P33" i="68"/>
  <c r="O33" i="68"/>
  <c r="N33" i="68"/>
  <c r="Q32" i="68"/>
  <c r="P32" i="68"/>
  <c r="O32" i="68"/>
  <c r="N32" i="68"/>
  <c r="Q31" i="68"/>
  <c r="P31" i="68"/>
  <c r="O31" i="68"/>
  <c r="N31" i="68"/>
  <c r="Q30" i="68"/>
  <c r="P30" i="68"/>
  <c r="O30" i="68"/>
  <c r="N30" i="68"/>
  <c r="Q29" i="68"/>
  <c r="P29" i="68"/>
  <c r="O29" i="68"/>
  <c r="N29" i="68"/>
  <c r="Q28" i="68"/>
  <c r="P28" i="68"/>
  <c r="O28" i="68"/>
  <c r="N28" i="68"/>
  <c r="Q27" i="68"/>
  <c r="P27" i="68"/>
  <c r="O27" i="68"/>
  <c r="N27" i="68"/>
  <c r="Q26" i="68"/>
  <c r="P26" i="68"/>
  <c r="O26" i="68"/>
  <c r="N26" i="68"/>
  <c r="Q25" i="68"/>
  <c r="P25" i="68"/>
  <c r="O25" i="68"/>
  <c r="N25" i="68"/>
  <c r="Q24" i="68"/>
  <c r="P24" i="68"/>
  <c r="O24" i="68"/>
  <c r="N24" i="68"/>
  <c r="Q23" i="68"/>
  <c r="P23" i="68"/>
  <c r="O23" i="68"/>
  <c r="N23" i="68"/>
  <c r="Q22" i="68"/>
  <c r="P22" i="68"/>
  <c r="O22" i="68"/>
  <c r="N22" i="68"/>
  <c r="Q21" i="68"/>
  <c r="P21" i="68"/>
  <c r="O21" i="68"/>
  <c r="N21" i="68"/>
  <c r="Q20" i="68"/>
  <c r="P20" i="68"/>
  <c r="O20" i="68"/>
  <c r="N20" i="68"/>
  <c r="Q19" i="68"/>
  <c r="P19" i="68"/>
  <c r="O19" i="68"/>
  <c r="N19" i="68"/>
  <c r="Q18" i="68"/>
  <c r="P18" i="68"/>
  <c r="O18" i="68"/>
  <c r="N18" i="68"/>
  <c r="Q17" i="68"/>
  <c r="P17" i="68"/>
  <c r="O17" i="68"/>
  <c r="N17" i="68"/>
  <c r="Q16" i="68"/>
  <c r="P16" i="68"/>
  <c r="O16" i="68"/>
  <c r="N16" i="68"/>
  <c r="Q15" i="68"/>
  <c r="P15" i="68"/>
  <c r="O15" i="68"/>
  <c r="N15" i="68"/>
  <c r="Q14" i="68"/>
  <c r="P14" i="68"/>
  <c r="O14" i="68"/>
  <c r="N14" i="68"/>
  <c r="Q13" i="68"/>
  <c r="P13" i="68"/>
  <c r="O13" i="68"/>
  <c r="N13" i="68"/>
  <c r="Q12" i="68"/>
  <c r="P12" i="68"/>
  <c r="O12" i="68"/>
  <c r="N12" i="68"/>
  <c r="Q11" i="68"/>
  <c r="P11" i="68"/>
  <c r="O11" i="68"/>
  <c r="N11" i="68"/>
  <c r="Q10" i="68"/>
  <c r="P10" i="68"/>
  <c r="O10" i="68"/>
  <c r="N10" i="68"/>
  <c r="Q9" i="68"/>
  <c r="P9" i="68"/>
  <c r="O9" i="68"/>
  <c r="N9" i="68"/>
  <c r="Q8" i="68"/>
  <c r="P8" i="68"/>
  <c r="O8" i="68"/>
  <c r="N8" i="68"/>
  <c r="Q7" i="68"/>
  <c r="P7" i="68"/>
  <c r="O7" i="68"/>
  <c r="N7" i="68"/>
  <c r="Q6" i="68"/>
  <c r="P6" i="68"/>
  <c r="O6" i="68"/>
  <c r="N6" i="68"/>
  <c r="Q5" i="68"/>
  <c r="P5" i="68"/>
  <c r="O5" i="68"/>
  <c r="N5" i="68"/>
  <c r="Q4" i="68"/>
  <c r="P4" i="68"/>
  <c r="O4" i="68"/>
  <c r="N4" i="68"/>
  <c r="Q3" i="68"/>
  <c r="P3" i="68"/>
  <c r="O3" i="68"/>
  <c r="N3" i="68"/>
  <c r="Q123" i="66"/>
  <c r="P123" i="66"/>
  <c r="O123" i="66"/>
  <c r="N123" i="66"/>
  <c r="Q122" i="66"/>
  <c r="P122" i="66"/>
  <c r="O122" i="66"/>
  <c r="N122" i="66"/>
  <c r="Q121" i="66"/>
  <c r="P121" i="66"/>
  <c r="O121" i="66"/>
  <c r="N121" i="66"/>
  <c r="Q120" i="66"/>
  <c r="P120" i="66"/>
  <c r="O120" i="66"/>
  <c r="N120" i="66"/>
  <c r="Q119" i="66"/>
  <c r="P119" i="66"/>
  <c r="O119" i="66"/>
  <c r="N119" i="66"/>
  <c r="Q118" i="66"/>
  <c r="P118" i="66"/>
  <c r="O118" i="66"/>
  <c r="N118" i="66"/>
  <c r="Q117" i="66"/>
  <c r="P117" i="66"/>
  <c r="O117" i="66"/>
  <c r="N117" i="66"/>
  <c r="Q116" i="66"/>
  <c r="P116" i="66"/>
  <c r="O116" i="66"/>
  <c r="N116" i="66"/>
  <c r="Q115" i="66"/>
  <c r="P115" i="66"/>
  <c r="O115" i="66"/>
  <c r="N115" i="66"/>
  <c r="Q114" i="66"/>
  <c r="P114" i="66"/>
  <c r="O114" i="66"/>
  <c r="N114" i="66"/>
  <c r="Q113" i="66"/>
  <c r="P113" i="66"/>
  <c r="O113" i="66"/>
  <c r="N113" i="66"/>
  <c r="Q112" i="66"/>
  <c r="P112" i="66"/>
  <c r="O112" i="66"/>
  <c r="N112" i="66"/>
  <c r="Q111" i="66"/>
  <c r="P111" i="66"/>
  <c r="O111" i="66"/>
  <c r="N111" i="66"/>
  <c r="Q110" i="66"/>
  <c r="P110" i="66"/>
  <c r="O110" i="66"/>
  <c r="N110" i="66"/>
  <c r="Q109" i="66"/>
  <c r="P109" i="66"/>
  <c r="O109" i="66"/>
  <c r="N109" i="66"/>
  <c r="Q108" i="66"/>
  <c r="P108" i="66"/>
  <c r="O108" i="66"/>
  <c r="N108" i="66"/>
  <c r="Q107" i="66"/>
  <c r="P107" i="66"/>
  <c r="O107" i="66"/>
  <c r="N107" i="66"/>
  <c r="Q106" i="66"/>
  <c r="P106" i="66"/>
  <c r="O106" i="66"/>
  <c r="N106" i="66"/>
  <c r="Q105" i="66"/>
  <c r="P105" i="66"/>
  <c r="O105" i="66"/>
  <c r="N105" i="66"/>
  <c r="Q104" i="66"/>
  <c r="P104" i="66"/>
  <c r="O104" i="66"/>
  <c r="N104" i="66"/>
  <c r="Q103" i="66"/>
  <c r="P103" i="66"/>
  <c r="O103" i="66"/>
  <c r="N103" i="66"/>
  <c r="Q102" i="66"/>
  <c r="P102" i="66"/>
  <c r="O102" i="66"/>
  <c r="N102" i="66"/>
  <c r="Q101" i="66"/>
  <c r="P101" i="66"/>
  <c r="O101" i="66"/>
  <c r="N101" i="66"/>
  <c r="Q100" i="66"/>
  <c r="P100" i="66"/>
  <c r="O100" i="66"/>
  <c r="N100" i="66"/>
  <c r="Q99" i="66"/>
  <c r="P99" i="66"/>
  <c r="O99" i="66"/>
  <c r="N99" i="66"/>
  <c r="Q98" i="66"/>
  <c r="P98" i="66"/>
  <c r="O98" i="66"/>
  <c r="N98" i="66"/>
  <c r="Q97" i="66"/>
  <c r="P97" i="66"/>
  <c r="O97" i="66"/>
  <c r="N97" i="66"/>
  <c r="Q96" i="66"/>
  <c r="P96" i="66"/>
  <c r="O96" i="66"/>
  <c r="N96" i="66"/>
  <c r="Q95" i="66"/>
  <c r="P95" i="66"/>
  <c r="O95" i="66"/>
  <c r="N95" i="66"/>
  <c r="Q94" i="66"/>
  <c r="P94" i="66"/>
  <c r="O94" i="66"/>
  <c r="N94" i="66"/>
  <c r="Q93" i="66"/>
  <c r="P93" i="66"/>
  <c r="O93" i="66"/>
  <c r="N93" i="66"/>
  <c r="Q92" i="66"/>
  <c r="P92" i="66"/>
  <c r="O92" i="66"/>
  <c r="N92" i="66"/>
  <c r="Q91" i="66"/>
  <c r="P91" i="66"/>
  <c r="O91" i="66"/>
  <c r="N91" i="66"/>
  <c r="Q90" i="66"/>
  <c r="P90" i="66"/>
  <c r="O90" i="66"/>
  <c r="N90" i="66"/>
  <c r="Q89" i="66"/>
  <c r="P89" i="66"/>
  <c r="O89" i="66"/>
  <c r="N89" i="66"/>
  <c r="Q88" i="66"/>
  <c r="P88" i="66"/>
  <c r="O88" i="66"/>
  <c r="N88" i="66"/>
  <c r="Q87" i="66"/>
  <c r="P87" i="66"/>
  <c r="O87" i="66"/>
  <c r="N87" i="66"/>
  <c r="Q86" i="66"/>
  <c r="P86" i="66"/>
  <c r="O86" i="66"/>
  <c r="N86" i="66"/>
  <c r="Q85" i="66"/>
  <c r="P85" i="66"/>
  <c r="O85" i="66"/>
  <c r="N85" i="66"/>
  <c r="Q84" i="66"/>
  <c r="P84" i="66"/>
  <c r="O84" i="66"/>
  <c r="N84" i="66"/>
  <c r="Q83" i="66"/>
  <c r="P83" i="66"/>
  <c r="O83" i="66"/>
  <c r="N83" i="66"/>
  <c r="Q82" i="66"/>
  <c r="P82" i="66"/>
  <c r="O82" i="66"/>
  <c r="N82" i="66"/>
  <c r="Q81" i="66"/>
  <c r="P81" i="66"/>
  <c r="O81" i="66"/>
  <c r="N81" i="66"/>
  <c r="Q80" i="66"/>
  <c r="P80" i="66"/>
  <c r="O80" i="66"/>
  <c r="N80" i="66"/>
  <c r="Q79" i="66"/>
  <c r="P79" i="66"/>
  <c r="O79" i="66"/>
  <c r="N79" i="66"/>
  <c r="Q78" i="66"/>
  <c r="P78" i="66"/>
  <c r="O78" i="66"/>
  <c r="N78" i="66"/>
  <c r="Q77" i="66"/>
  <c r="P77" i="66"/>
  <c r="O77" i="66"/>
  <c r="N77" i="66"/>
  <c r="Q76" i="66"/>
  <c r="P76" i="66"/>
  <c r="O76" i="66"/>
  <c r="N76" i="66"/>
  <c r="Q75" i="66"/>
  <c r="P75" i="66"/>
  <c r="O75" i="66"/>
  <c r="N75" i="66"/>
  <c r="Q74" i="66"/>
  <c r="P74" i="66"/>
  <c r="O74" i="66"/>
  <c r="N74" i="66"/>
  <c r="Q73" i="66"/>
  <c r="P73" i="66"/>
  <c r="O73" i="66"/>
  <c r="N73" i="66"/>
  <c r="Q72" i="66"/>
  <c r="P72" i="66"/>
  <c r="O72" i="66"/>
  <c r="N72" i="66"/>
  <c r="Q71" i="66"/>
  <c r="P71" i="66"/>
  <c r="O71" i="66"/>
  <c r="N71" i="66"/>
  <c r="Q70" i="66"/>
  <c r="P70" i="66"/>
  <c r="O70" i="66"/>
  <c r="N70" i="66"/>
  <c r="Q69" i="66"/>
  <c r="P69" i="66"/>
  <c r="O69" i="66"/>
  <c r="N69" i="66"/>
  <c r="Q68" i="66"/>
  <c r="P68" i="66"/>
  <c r="O68" i="66"/>
  <c r="N68" i="66"/>
  <c r="Q67" i="66"/>
  <c r="P67" i="66"/>
  <c r="O67" i="66"/>
  <c r="N67" i="66"/>
  <c r="Q66" i="66"/>
  <c r="P66" i="66"/>
  <c r="O66" i="66"/>
  <c r="N66" i="66"/>
  <c r="Q65" i="66"/>
  <c r="P65" i="66"/>
  <c r="O65" i="66"/>
  <c r="N65" i="66"/>
  <c r="Q64" i="66"/>
  <c r="P64" i="66"/>
  <c r="O64" i="66"/>
  <c r="N64" i="66"/>
  <c r="Q63" i="66"/>
  <c r="P63" i="66"/>
  <c r="O63" i="66"/>
  <c r="N63" i="66"/>
  <c r="Q62" i="66"/>
  <c r="P62" i="66"/>
  <c r="O62" i="66"/>
  <c r="N62" i="66"/>
  <c r="Q61" i="66"/>
  <c r="P61" i="66"/>
  <c r="O61" i="66"/>
  <c r="N61" i="66"/>
  <c r="Q60" i="66"/>
  <c r="P60" i="66"/>
  <c r="O60" i="66"/>
  <c r="N60" i="66"/>
  <c r="Q59" i="66"/>
  <c r="P59" i="66"/>
  <c r="O59" i="66"/>
  <c r="N59" i="66"/>
  <c r="Q58" i="66"/>
  <c r="P58" i="66"/>
  <c r="O58" i="66"/>
  <c r="N58" i="66"/>
  <c r="Q57" i="66"/>
  <c r="P57" i="66"/>
  <c r="O57" i="66"/>
  <c r="N57" i="66"/>
  <c r="Q56" i="66"/>
  <c r="P56" i="66"/>
  <c r="O56" i="66"/>
  <c r="N56" i="66"/>
  <c r="Q55" i="66"/>
  <c r="P55" i="66"/>
  <c r="O55" i="66"/>
  <c r="N55" i="66"/>
  <c r="Q54" i="66"/>
  <c r="P54" i="66"/>
  <c r="O54" i="66"/>
  <c r="N54" i="66"/>
  <c r="Q53" i="66"/>
  <c r="P53" i="66"/>
  <c r="O53" i="66"/>
  <c r="N53" i="66"/>
  <c r="Q52" i="66"/>
  <c r="P52" i="66"/>
  <c r="O52" i="66"/>
  <c r="N52" i="66"/>
  <c r="Q51" i="66"/>
  <c r="P51" i="66"/>
  <c r="O51" i="66"/>
  <c r="N51" i="66"/>
  <c r="Q50" i="66"/>
  <c r="P50" i="66"/>
  <c r="O50" i="66"/>
  <c r="N50" i="66"/>
  <c r="Q49" i="66"/>
  <c r="P49" i="66"/>
  <c r="O49" i="66"/>
  <c r="N49" i="66"/>
  <c r="Q48" i="66"/>
  <c r="P48" i="66"/>
  <c r="O48" i="66"/>
  <c r="N48" i="66"/>
  <c r="Q47" i="66"/>
  <c r="P47" i="66"/>
  <c r="O47" i="66"/>
  <c r="N47" i="66"/>
  <c r="Q46" i="66"/>
  <c r="P46" i="66"/>
  <c r="O46" i="66"/>
  <c r="N46" i="66"/>
  <c r="Q45" i="66"/>
  <c r="P45" i="66"/>
  <c r="O45" i="66"/>
  <c r="N45" i="66"/>
  <c r="Q44" i="66"/>
  <c r="P44" i="66"/>
  <c r="O44" i="66"/>
  <c r="N44" i="66"/>
  <c r="Q43" i="66"/>
  <c r="P43" i="66"/>
  <c r="O43" i="66"/>
  <c r="N43" i="66"/>
  <c r="Q42" i="66"/>
  <c r="P42" i="66"/>
  <c r="O42" i="66"/>
  <c r="N42" i="66"/>
  <c r="Q41" i="66"/>
  <c r="P41" i="66"/>
  <c r="O41" i="66"/>
  <c r="N41" i="66"/>
  <c r="Q40" i="66"/>
  <c r="P40" i="66"/>
  <c r="O40" i="66"/>
  <c r="N40" i="66"/>
  <c r="Q39" i="66"/>
  <c r="P39" i="66"/>
  <c r="O39" i="66"/>
  <c r="N39" i="66"/>
  <c r="Q38" i="66"/>
  <c r="P38" i="66"/>
  <c r="O38" i="66"/>
  <c r="N38" i="66"/>
  <c r="Q37" i="66"/>
  <c r="P37" i="66"/>
  <c r="O37" i="66"/>
  <c r="N37" i="66"/>
  <c r="Q36" i="66"/>
  <c r="P36" i="66"/>
  <c r="O36" i="66"/>
  <c r="N36" i="66"/>
  <c r="Q35" i="66"/>
  <c r="P35" i="66"/>
  <c r="O35" i="66"/>
  <c r="N35" i="66"/>
  <c r="Q34" i="66"/>
  <c r="P34" i="66"/>
  <c r="O34" i="66"/>
  <c r="N34" i="66"/>
  <c r="Q33" i="66"/>
  <c r="P33" i="66"/>
  <c r="O33" i="66"/>
  <c r="N33" i="66"/>
  <c r="Q32" i="66"/>
  <c r="P32" i="66"/>
  <c r="O32" i="66"/>
  <c r="N32" i="66"/>
  <c r="Q31" i="66"/>
  <c r="P31" i="66"/>
  <c r="O31" i="66"/>
  <c r="N31" i="66"/>
  <c r="Q30" i="66"/>
  <c r="P30" i="66"/>
  <c r="O30" i="66"/>
  <c r="N30" i="66"/>
  <c r="Q29" i="66"/>
  <c r="P29" i="66"/>
  <c r="O29" i="66"/>
  <c r="N29" i="66"/>
  <c r="Q28" i="66"/>
  <c r="P28" i="66"/>
  <c r="O28" i="66"/>
  <c r="N28" i="66"/>
  <c r="Q27" i="66"/>
  <c r="P27" i="66"/>
  <c r="O27" i="66"/>
  <c r="N27" i="66"/>
  <c r="Q26" i="66"/>
  <c r="P26" i="66"/>
  <c r="O26" i="66"/>
  <c r="N26" i="66"/>
  <c r="Q25" i="66"/>
  <c r="P25" i="66"/>
  <c r="O25" i="66"/>
  <c r="N25" i="66"/>
  <c r="Q24" i="66"/>
  <c r="P24" i="66"/>
  <c r="O24" i="66"/>
  <c r="N24" i="66"/>
  <c r="Q23" i="66"/>
  <c r="P23" i="66"/>
  <c r="O23" i="66"/>
  <c r="N23" i="66"/>
  <c r="Q22" i="66"/>
  <c r="P22" i="66"/>
  <c r="O22" i="66"/>
  <c r="N22" i="66"/>
  <c r="Q21" i="66"/>
  <c r="P21" i="66"/>
  <c r="O21" i="66"/>
  <c r="N21" i="66"/>
  <c r="Q20" i="66"/>
  <c r="P20" i="66"/>
  <c r="O20" i="66"/>
  <c r="N20" i="66"/>
  <c r="Q19" i="66"/>
  <c r="P19" i="66"/>
  <c r="O19" i="66"/>
  <c r="N19" i="66"/>
  <c r="Q18" i="66"/>
  <c r="P18" i="66"/>
  <c r="O18" i="66"/>
  <c r="N18" i="66"/>
  <c r="Q17" i="66"/>
  <c r="P17" i="66"/>
  <c r="O17" i="66"/>
  <c r="N17" i="66"/>
  <c r="Q16" i="66"/>
  <c r="P16" i="66"/>
  <c r="O16" i="66"/>
  <c r="N16" i="66"/>
  <c r="Q15" i="66"/>
  <c r="P15" i="66"/>
  <c r="O15" i="66"/>
  <c r="N15" i="66"/>
  <c r="Q14" i="66"/>
  <c r="P14" i="66"/>
  <c r="O14" i="66"/>
  <c r="N14" i="66"/>
  <c r="Q13" i="66"/>
  <c r="P13" i="66"/>
  <c r="O13" i="66"/>
  <c r="N13" i="66"/>
  <c r="Q12" i="66"/>
  <c r="P12" i="66"/>
  <c r="O12" i="66"/>
  <c r="N12" i="66"/>
  <c r="Q11" i="66"/>
  <c r="P11" i="66"/>
  <c r="O11" i="66"/>
  <c r="N11" i="66"/>
  <c r="Q10" i="66"/>
  <c r="P10" i="66"/>
  <c r="O10" i="66"/>
  <c r="N10" i="66"/>
  <c r="Q9" i="66"/>
  <c r="P9" i="66"/>
  <c r="O9" i="66"/>
  <c r="N9" i="66"/>
  <c r="Q8" i="66"/>
  <c r="P8" i="66"/>
  <c r="O8" i="66"/>
  <c r="N8" i="66"/>
  <c r="Q7" i="66"/>
  <c r="P7" i="66"/>
  <c r="O7" i="66"/>
  <c r="N7" i="66"/>
  <c r="Q6" i="66"/>
  <c r="P6" i="66"/>
  <c r="O6" i="66"/>
  <c r="N6" i="66"/>
  <c r="Q5" i="66"/>
  <c r="P5" i="66"/>
  <c r="O5" i="66"/>
  <c r="N5" i="66"/>
  <c r="Q4" i="66"/>
  <c r="P4" i="66"/>
  <c r="O4" i="66"/>
  <c r="N4" i="66"/>
  <c r="Q3" i="66"/>
  <c r="P3" i="66"/>
  <c r="O3" i="66"/>
  <c r="N3" i="66"/>
  <c r="Q123" i="62"/>
  <c r="P123" i="62"/>
  <c r="O123" i="62"/>
  <c r="N123" i="62"/>
  <c r="Q122" i="62"/>
  <c r="P122" i="62"/>
  <c r="O122" i="62"/>
  <c r="N122" i="62"/>
  <c r="Q121" i="62"/>
  <c r="P121" i="62"/>
  <c r="O121" i="62"/>
  <c r="N121" i="62"/>
  <c r="Q120" i="62"/>
  <c r="P120" i="62"/>
  <c r="O120" i="62"/>
  <c r="N120" i="62"/>
  <c r="Q119" i="62"/>
  <c r="P119" i="62"/>
  <c r="O119" i="62"/>
  <c r="N119" i="62"/>
  <c r="Q118" i="62"/>
  <c r="P118" i="62"/>
  <c r="O118" i="62"/>
  <c r="N118" i="62"/>
  <c r="Q117" i="62"/>
  <c r="P117" i="62"/>
  <c r="O117" i="62"/>
  <c r="N117" i="62"/>
  <c r="Q116" i="62"/>
  <c r="P116" i="62"/>
  <c r="O116" i="62"/>
  <c r="N116" i="62"/>
  <c r="Q115" i="62"/>
  <c r="P115" i="62"/>
  <c r="O115" i="62"/>
  <c r="N115" i="62"/>
  <c r="Q114" i="62"/>
  <c r="P114" i="62"/>
  <c r="O114" i="62"/>
  <c r="N114" i="62"/>
  <c r="Q113" i="62"/>
  <c r="P113" i="62"/>
  <c r="O113" i="62"/>
  <c r="N113" i="62"/>
  <c r="Q112" i="62"/>
  <c r="P112" i="62"/>
  <c r="O112" i="62"/>
  <c r="N112" i="62"/>
  <c r="Q111" i="62"/>
  <c r="P111" i="62"/>
  <c r="O111" i="62"/>
  <c r="N111" i="62"/>
  <c r="Q110" i="62"/>
  <c r="P110" i="62"/>
  <c r="O110" i="62"/>
  <c r="N110" i="62"/>
  <c r="Q109" i="62"/>
  <c r="P109" i="62"/>
  <c r="O109" i="62"/>
  <c r="N109" i="62"/>
  <c r="Q108" i="62"/>
  <c r="P108" i="62"/>
  <c r="O108" i="62"/>
  <c r="N108" i="62"/>
  <c r="Q107" i="62"/>
  <c r="P107" i="62"/>
  <c r="O107" i="62"/>
  <c r="N107" i="62"/>
  <c r="Q106" i="62"/>
  <c r="P106" i="62"/>
  <c r="O106" i="62"/>
  <c r="N106" i="62"/>
  <c r="Q105" i="62"/>
  <c r="P105" i="62"/>
  <c r="O105" i="62"/>
  <c r="N105" i="62"/>
  <c r="Q104" i="62"/>
  <c r="P104" i="62"/>
  <c r="O104" i="62"/>
  <c r="N104" i="62"/>
  <c r="Q103" i="62"/>
  <c r="P103" i="62"/>
  <c r="O103" i="62"/>
  <c r="N103" i="62"/>
  <c r="Q102" i="62"/>
  <c r="P102" i="62"/>
  <c r="O102" i="62"/>
  <c r="N102" i="62"/>
  <c r="Q101" i="62"/>
  <c r="P101" i="62"/>
  <c r="O101" i="62"/>
  <c r="N101" i="62"/>
  <c r="Q100" i="62"/>
  <c r="P100" i="62"/>
  <c r="O100" i="62"/>
  <c r="N100" i="62"/>
  <c r="Q99" i="62"/>
  <c r="P99" i="62"/>
  <c r="O99" i="62"/>
  <c r="N99" i="62"/>
  <c r="Q98" i="62"/>
  <c r="P98" i="62"/>
  <c r="O98" i="62"/>
  <c r="N98" i="62"/>
  <c r="Q97" i="62"/>
  <c r="P97" i="62"/>
  <c r="O97" i="62"/>
  <c r="N97" i="62"/>
  <c r="Q96" i="62"/>
  <c r="P96" i="62"/>
  <c r="O96" i="62"/>
  <c r="N96" i="62"/>
  <c r="Q95" i="62"/>
  <c r="P95" i="62"/>
  <c r="O95" i="62"/>
  <c r="N95" i="62"/>
  <c r="Q94" i="62"/>
  <c r="P94" i="62"/>
  <c r="O94" i="62"/>
  <c r="N94" i="62"/>
  <c r="Q93" i="62"/>
  <c r="P93" i="62"/>
  <c r="O93" i="62"/>
  <c r="N93" i="62"/>
  <c r="Q92" i="62"/>
  <c r="P92" i="62"/>
  <c r="O92" i="62"/>
  <c r="N92" i="62"/>
  <c r="Q91" i="62"/>
  <c r="P91" i="62"/>
  <c r="O91" i="62"/>
  <c r="N91" i="62"/>
  <c r="Q90" i="62"/>
  <c r="P90" i="62"/>
  <c r="O90" i="62"/>
  <c r="N90" i="62"/>
  <c r="Q89" i="62"/>
  <c r="P89" i="62"/>
  <c r="O89" i="62"/>
  <c r="N89" i="62"/>
  <c r="Q88" i="62"/>
  <c r="P88" i="62"/>
  <c r="O88" i="62"/>
  <c r="N88" i="62"/>
  <c r="Q87" i="62"/>
  <c r="P87" i="62"/>
  <c r="O87" i="62"/>
  <c r="N87" i="62"/>
  <c r="Q86" i="62"/>
  <c r="P86" i="62"/>
  <c r="O86" i="62"/>
  <c r="N86" i="62"/>
  <c r="Q85" i="62"/>
  <c r="P85" i="62"/>
  <c r="O85" i="62"/>
  <c r="N85" i="62"/>
  <c r="Q84" i="62"/>
  <c r="P84" i="62"/>
  <c r="O84" i="62"/>
  <c r="N84" i="62"/>
  <c r="Q83" i="62"/>
  <c r="P83" i="62"/>
  <c r="O83" i="62"/>
  <c r="N83" i="62"/>
  <c r="Q82" i="62"/>
  <c r="P82" i="62"/>
  <c r="O82" i="62"/>
  <c r="N82" i="62"/>
  <c r="Q81" i="62"/>
  <c r="P81" i="62"/>
  <c r="O81" i="62"/>
  <c r="N81" i="62"/>
  <c r="Q80" i="62"/>
  <c r="P80" i="62"/>
  <c r="O80" i="62"/>
  <c r="N80" i="62"/>
  <c r="Q79" i="62"/>
  <c r="P79" i="62"/>
  <c r="O79" i="62"/>
  <c r="N79" i="62"/>
  <c r="Q78" i="62"/>
  <c r="P78" i="62"/>
  <c r="O78" i="62"/>
  <c r="N78" i="62"/>
  <c r="Q77" i="62"/>
  <c r="P77" i="62"/>
  <c r="O77" i="62"/>
  <c r="N77" i="62"/>
  <c r="Q76" i="62"/>
  <c r="P76" i="62"/>
  <c r="O76" i="62"/>
  <c r="N76" i="62"/>
  <c r="Q75" i="62"/>
  <c r="P75" i="62"/>
  <c r="O75" i="62"/>
  <c r="N75" i="62"/>
  <c r="Q74" i="62"/>
  <c r="P74" i="62"/>
  <c r="O74" i="62"/>
  <c r="N74" i="62"/>
  <c r="Q73" i="62"/>
  <c r="P73" i="62"/>
  <c r="O73" i="62"/>
  <c r="N73" i="62"/>
  <c r="Q72" i="62"/>
  <c r="P72" i="62"/>
  <c r="O72" i="62"/>
  <c r="N72" i="62"/>
  <c r="Q71" i="62"/>
  <c r="P71" i="62"/>
  <c r="O71" i="62"/>
  <c r="N71" i="62"/>
  <c r="Q70" i="62"/>
  <c r="P70" i="62"/>
  <c r="O70" i="62"/>
  <c r="N70" i="62"/>
  <c r="Q69" i="62"/>
  <c r="P69" i="62"/>
  <c r="O69" i="62"/>
  <c r="N69" i="62"/>
  <c r="Q68" i="62"/>
  <c r="P68" i="62"/>
  <c r="O68" i="62"/>
  <c r="N68" i="62"/>
  <c r="Q67" i="62"/>
  <c r="P67" i="62"/>
  <c r="O67" i="62"/>
  <c r="N67" i="62"/>
  <c r="Q66" i="62"/>
  <c r="P66" i="62"/>
  <c r="O66" i="62"/>
  <c r="N66" i="62"/>
  <c r="Q65" i="62"/>
  <c r="P65" i="62"/>
  <c r="O65" i="62"/>
  <c r="N65" i="62"/>
  <c r="Q64" i="62"/>
  <c r="P64" i="62"/>
  <c r="O64" i="62"/>
  <c r="N64" i="62"/>
  <c r="Q63" i="62"/>
  <c r="P63" i="62"/>
  <c r="O63" i="62"/>
  <c r="N63" i="62"/>
  <c r="Q62" i="62"/>
  <c r="P62" i="62"/>
  <c r="O62" i="62"/>
  <c r="N62" i="62"/>
  <c r="Q61" i="62"/>
  <c r="P61" i="62"/>
  <c r="O61" i="62"/>
  <c r="N61" i="62"/>
  <c r="Q60" i="62"/>
  <c r="P60" i="62"/>
  <c r="O60" i="62"/>
  <c r="N60" i="62"/>
  <c r="Q59" i="62"/>
  <c r="P59" i="62"/>
  <c r="O59" i="62"/>
  <c r="N59" i="62"/>
  <c r="Q58" i="62"/>
  <c r="P58" i="62"/>
  <c r="O58" i="62"/>
  <c r="N58" i="62"/>
  <c r="Q57" i="62"/>
  <c r="P57" i="62"/>
  <c r="O57" i="62"/>
  <c r="N57" i="62"/>
  <c r="Q56" i="62"/>
  <c r="P56" i="62"/>
  <c r="O56" i="62"/>
  <c r="N56" i="62"/>
  <c r="Q55" i="62"/>
  <c r="P55" i="62"/>
  <c r="O55" i="62"/>
  <c r="N55" i="62"/>
  <c r="Q54" i="62"/>
  <c r="P54" i="62"/>
  <c r="O54" i="62"/>
  <c r="N54" i="62"/>
  <c r="Q53" i="62"/>
  <c r="P53" i="62"/>
  <c r="O53" i="62"/>
  <c r="N53" i="62"/>
  <c r="Q52" i="62"/>
  <c r="P52" i="62"/>
  <c r="O52" i="62"/>
  <c r="N52" i="62"/>
  <c r="Q51" i="62"/>
  <c r="P51" i="62"/>
  <c r="O51" i="62"/>
  <c r="N51" i="62"/>
  <c r="Q50" i="62"/>
  <c r="P50" i="62"/>
  <c r="O50" i="62"/>
  <c r="N50" i="62"/>
  <c r="Q49" i="62"/>
  <c r="P49" i="62"/>
  <c r="O49" i="62"/>
  <c r="N49" i="62"/>
  <c r="Q48" i="62"/>
  <c r="P48" i="62"/>
  <c r="O48" i="62"/>
  <c r="N48" i="62"/>
  <c r="Q47" i="62"/>
  <c r="P47" i="62"/>
  <c r="O47" i="62"/>
  <c r="N47" i="62"/>
  <c r="Q46" i="62"/>
  <c r="P46" i="62"/>
  <c r="O46" i="62"/>
  <c r="N46" i="62"/>
  <c r="Q45" i="62"/>
  <c r="P45" i="62"/>
  <c r="O45" i="62"/>
  <c r="N45" i="62"/>
  <c r="Q44" i="62"/>
  <c r="P44" i="62"/>
  <c r="O44" i="62"/>
  <c r="N44" i="62"/>
  <c r="Q43" i="62"/>
  <c r="P43" i="62"/>
  <c r="O43" i="62"/>
  <c r="N43" i="62"/>
  <c r="Q42" i="62"/>
  <c r="P42" i="62"/>
  <c r="O42" i="62"/>
  <c r="N42" i="62"/>
  <c r="Q41" i="62"/>
  <c r="P41" i="62"/>
  <c r="O41" i="62"/>
  <c r="N41" i="62"/>
  <c r="Q40" i="62"/>
  <c r="P40" i="62"/>
  <c r="O40" i="62"/>
  <c r="N40" i="62"/>
  <c r="Q39" i="62"/>
  <c r="P39" i="62"/>
  <c r="O39" i="62"/>
  <c r="N39" i="62"/>
  <c r="Q38" i="62"/>
  <c r="P38" i="62"/>
  <c r="O38" i="62"/>
  <c r="N38" i="62"/>
  <c r="Q37" i="62"/>
  <c r="P37" i="62"/>
  <c r="O37" i="62"/>
  <c r="N37" i="62"/>
  <c r="Q36" i="62"/>
  <c r="P36" i="62"/>
  <c r="O36" i="62"/>
  <c r="N36" i="62"/>
  <c r="Q35" i="62"/>
  <c r="P35" i="62"/>
  <c r="O35" i="62"/>
  <c r="N35" i="62"/>
  <c r="Q34" i="62"/>
  <c r="P34" i="62"/>
  <c r="O34" i="62"/>
  <c r="N34" i="62"/>
  <c r="Q33" i="62"/>
  <c r="P33" i="62"/>
  <c r="O33" i="62"/>
  <c r="N33" i="62"/>
  <c r="Q32" i="62"/>
  <c r="P32" i="62"/>
  <c r="O32" i="62"/>
  <c r="N32" i="62"/>
  <c r="Q31" i="62"/>
  <c r="P31" i="62"/>
  <c r="O31" i="62"/>
  <c r="N31" i="62"/>
  <c r="Q30" i="62"/>
  <c r="P30" i="62"/>
  <c r="O30" i="62"/>
  <c r="N30" i="62"/>
  <c r="Q29" i="62"/>
  <c r="P29" i="62"/>
  <c r="O29" i="62"/>
  <c r="N29" i="62"/>
  <c r="Q28" i="62"/>
  <c r="P28" i="62"/>
  <c r="O28" i="62"/>
  <c r="N28" i="62"/>
  <c r="Q27" i="62"/>
  <c r="P27" i="62"/>
  <c r="O27" i="62"/>
  <c r="N27" i="62"/>
  <c r="Q26" i="62"/>
  <c r="P26" i="62"/>
  <c r="O26" i="62"/>
  <c r="N26" i="62"/>
  <c r="Q25" i="62"/>
  <c r="P25" i="62"/>
  <c r="O25" i="62"/>
  <c r="N25" i="62"/>
  <c r="Q24" i="62"/>
  <c r="P24" i="62"/>
  <c r="O24" i="62"/>
  <c r="N24" i="62"/>
  <c r="Q23" i="62"/>
  <c r="P23" i="62"/>
  <c r="O23" i="62"/>
  <c r="N23" i="62"/>
  <c r="Q22" i="62"/>
  <c r="P22" i="62"/>
  <c r="O22" i="62"/>
  <c r="N22" i="62"/>
  <c r="Q21" i="62"/>
  <c r="P21" i="62"/>
  <c r="O21" i="62"/>
  <c r="N21" i="62"/>
  <c r="Q20" i="62"/>
  <c r="P20" i="62"/>
  <c r="O20" i="62"/>
  <c r="N20" i="62"/>
  <c r="Q19" i="62"/>
  <c r="P19" i="62"/>
  <c r="O19" i="62"/>
  <c r="N19" i="62"/>
  <c r="Q18" i="62"/>
  <c r="P18" i="62"/>
  <c r="O18" i="62"/>
  <c r="N18" i="62"/>
  <c r="Q17" i="62"/>
  <c r="P17" i="62"/>
  <c r="O17" i="62"/>
  <c r="N17" i="62"/>
  <c r="Q16" i="62"/>
  <c r="P16" i="62"/>
  <c r="O16" i="62"/>
  <c r="N16" i="62"/>
  <c r="Q15" i="62"/>
  <c r="P15" i="62"/>
  <c r="O15" i="62"/>
  <c r="N15" i="62"/>
  <c r="Q14" i="62"/>
  <c r="P14" i="62"/>
  <c r="O14" i="62"/>
  <c r="N14" i="62"/>
  <c r="Q13" i="62"/>
  <c r="P13" i="62"/>
  <c r="O13" i="62"/>
  <c r="N13" i="62"/>
  <c r="Q12" i="62"/>
  <c r="P12" i="62"/>
  <c r="O12" i="62"/>
  <c r="N12" i="62"/>
  <c r="Q11" i="62"/>
  <c r="P11" i="62"/>
  <c r="O11" i="62"/>
  <c r="N11" i="62"/>
  <c r="Q10" i="62"/>
  <c r="P10" i="62"/>
  <c r="O10" i="62"/>
  <c r="N10" i="62"/>
  <c r="Q9" i="62"/>
  <c r="P9" i="62"/>
  <c r="O9" i="62"/>
  <c r="N9" i="62"/>
  <c r="Q8" i="62"/>
  <c r="P8" i="62"/>
  <c r="O8" i="62"/>
  <c r="N8" i="62"/>
  <c r="Q7" i="62"/>
  <c r="P7" i="62"/>
  <c r="O7" i="62"/>
  <c r="N7" i="62"/>
  <c r="Q6" i="62"/>
  <c r="P6" i="62"/>
  <c r="O6" i="62"/>
  <c r="N6" i="62"/>
  <c r="Q5" i="62"/>
  <c r="P5" i="62"/>
  <c r="O5" i="62"/>
  <c r="N5" i="62"/>
  <c r="Q4" i="62"/>
  <c r="P4" i="62"/>
  <c r="O4" i="62"/>
  <c r="N4" i="62"/>
  <c r="Q3" i="62"/>
  <c r="P3" i="62"/>
  <c r="O3" i="62"/>
  <c r="N3" i="62"/>
  <c r="N123" i="1"/>
  <c r="O123" i="1"/>
  <c r="P123" i="1"/>
  <c r="Q123" i="1"/>
  <c r="N33" i="1"/>
  <c r="O33" i="1"/>
  <c r="P33" i="1"/>
  <c r="Q33" i="1"/>
  <c r="N34" i="1"/>
  <c r="O34" i="1"/>
  <c r="P34" i="1"/>
  <c r="Q34" i="1"/>
  <c r="N35" i="1"/>
  <c r="O35" i="1"/>
  <c r="P35" i="1"/>
  <c r="Q35" i="1"/>
  <c r="N36" i="1"/>
  <c r="O36" i="1"/>
  <c r="P36" i="1"/>
  <c r="Q36" i="1"/>
  <c r="N37" i="1"/>
  <c r="O37" i="1"/>
  <c r="P37" i="1"/>
  <c r="Q37" i="1"/>
  <c r="N38" i="1"/>
  <c r="O38" i="1"/>
  <c r="P38" i="1"/>
  <c r="Q38" i="1"/>
  <c r="N39" i="1"/>
  <c r="O39" i="1"/>
  <c r="P39" i="1"/>
  <c r="Q39" i="1"/>
  <c r="N40" i="1"/>
  <c r="O40" i="1"/>
  <c r="P40" i="1"/>
  <c r="Q40" i="1"/>
  <c r="N41" i="1"/>
  <c r="O41" i="1"/>
  <c r="P41" i="1"/>
  <c r="Q41" i="1"/>
  <c r="N42" i="1"/>
  <c r="O42" i="1"/>
  <c r="P42" i="1"/>
  <c r="Q42" i="1"/>
  <c r="N43" i="1"/>
  <c r="O43" i="1"/>
  <c r="P43" i="1"/>
  <c r="Q43" i="1"/>
  <c r="N44" i="1"/>
  <c r="O44" i="1"/>
  <c r="P44" i="1"/>
  <c r="Q44" i="1"/>
  <c r="N45" i="1"/>
  <c r="O45" i="1"/>
  <c r="P45" i="1"/>
  <c r="Q45" i="1"/>
  <c r="N46" i="1"/>
  <c r="O46" i="1"/>
  <c r="P46" i="1"/>
  <c r="Q46" i="1"/>
  <c r="N47" i="1"/>
  <c r="O47" i="1"/>
  <c r="P47" i="1"/>
  <c r="Q47" i="1"/>
  <c r="N48" i="1"/>
  <c r="O48" i="1"/>
  <c r="P48" i="1"/>
  <c r="Q48" i="1"/>
  <c r="N49" i="1"/>
  <c r="O49" i="1"/>
  <c r="P49" i="1"/>
  <c r="Q49" i="1"/>
  <c r="N50" i="1"/>
  <c r="O50" i="1"/>
  <c r="P50" i="1"/>
  <c r="Q50" i="1"/>
  <c r="N51" i="1"/>
  <c r="O51" i="1"/>
  <c r="P51" i="1"/>
  <c r="Q51" i="1"/>
  <c r="N52" i="1"/>
  <c r="O52" i="1"/>
  <c r="P52" i="1"/>
  <c r="Q52" i="1"/>
  <c r="N53" i="1"/>
  <c r="O53" i="1"/>
  <c r="P53" i="1"/>
  <c r="Q53" i="1"/>
  <c r="N54" i="1"/>
  <c r="O54" i="1"/>
  <c r="P54" i="1"/>
  <c r="Q54" i="1"/>
  <c r="N55" i="1"/>
  <c r="O55" i="1"/>
  <c r="P55" i="1"/>
  <c r="Q55" i="1"/>
  <c r="N56" i="1"/>
  <c r="O56" i="1"/>
  <c r="P56" i="1"/>
  <c r="Q56" i="1"/>
  <c r="N57" i="1"/>
  <c r="O57" i="1"/>
  <c r="P57" i="1"/>
  <c r="Q57" i="1"/>
  <c r="N58" i="1"/>
  <c r="O58" i="1"/>
  <c r="P58" i="1"/>
  <c r="Q58" i="1"/>
  <c r="N59" i="1"/>
  <c r="O59" i="1"/>
  <c r="P59" i="1"/>
  <c r="Q59" i="1"/>
  <c r="N60" i="1"/>
  <c r="O60" i="1"/>
  <c r="P60" i="1"/>
  <c r="Q60" i="1"/>
  <c r="N61" i="1"/>
  <c r="O61" i="1"/>
  <c r="P61" i="1"/>
  <c r="Q61" i="1"/>
  <c r="N62" i="1"/>
  <c r="O62" i="1"/>
  <c r="P62" i="1"/>
  <c r="Q62" i="1"/>
  <c r="N63" i="1"/>
  <c r="O63" i="1"/>
  <c r="P63" i="1"/>
  <c r="Q63" i="1"/>
  <c r="N64" i="1"/>
  <c r="O64" i="1"/>
  <c r="P64" i="1"/>
  <c r="Q64" i="1"/>
  <c r="N65" i="1"/>
  <c r="O65" i="1"/>
  <c r="P65" i="1"/>
  <c r="Q65" i="1"/>
  <c r="N66" i="1"/>
  <c r="O66" i="1"/>
  <c r="P66" i="1"/>
  <c r="Q66" i="1"/>
  <c r="N67" i="1"/>
  <c r="O67" i="1"/>
  <c r="P67" i="1"/>
  <c r="Q67" i="1"/>
  <c r="N68" i="1"/>
  <c r="O68" i="1"/>
  <c r="P68" i="1"/>
  <c r="Q68" i="1"/>
  <c r="N69" i="1"/>
  <c r="O69" i="1"/>
  <c r="P69" i="1"/>
  <c r="Q69" i="1"/>
  <c r="N70" i="1"/>
  <c r="O70" i="1"/>
  <c r="P70" i="1"/>
  <c r="Q70" i="1"/>
  <c r="N71" i="1"/>
  <c r="O71" i="1"/>
  <c r="P71" i="1"/>
  <c r="Q71" i="1"/>
  <c r="N72" i="1"/>
  <c r="O72" i="1"/>
  <c r="P72" i="1"/>
  <c r="Q72" i="1"/>
  <c r="N73" i="1"/>
  <c r="O73" i="1"/>
  <c r="P73" i="1"/>
  <c r="Q73" i="1"/>
  <c r="N74" i="1"/>
  <c r="O74" i="1"/>
  <c r="P74" i="1"/>
  <c r="Q74" i="1"/>
  <c r="N75" i="1"/>
  <c r="O75" i="1"/>
  <c r="P75" i="1"/>
  <c r="Q75" i="1"/>
  <c r="N76" i="1"/>
  <c r="O76" i="1"/>
  <c r="P76" i="1"/>
  <c r="Q76" i="1"/>
  <c r="N77" i="1"/>
  <c r="O77" i="1"/>
  <c r="P77" i="1"/>
  <c r="Q77" i="1"/>
  <c r="N78" i="1"/>
  <c r="O78" i="1"/>
  <c r="P78" i="1"/>
  <c r="Q78" i="1"/>
  <c r="N79" i="1"/>
  <c r="O79" i="1"/>
  <c r="P79" i="1"/>
  <c r="Q79" i="1"/>
  <c r="N80" i="1"/>
  <c r="O80" i="1"/>
  <c r="P80" i="1"/>
  <c r="Q80" i="1"/>
  <c r="N81" i="1"/>
  <c r="O81" i="1"/>
  <c r="P81" i="1"/>
  <c r="Q81" i="1"/>
  <c r="N82" i="1"/>
  <c r="O82" i="1"/>
  <c r="P82" i="1"/>
  <c r="Q82" i="1"/>
  <c r="N83" i="1"/>
  <c r="O83" i="1"/>
  <c r="P83" i="1"/>
  <c r="Q83" i="1"/>
  <c r="N84" i="1"/>
  <c r="O84" i="1"/>
  <c r="P84" i="1"/>
  <c r="Q84" i="1"/>
  <c r="N85" i="1"/>
  <c r="O85" i="1"/>
  <c r="P85" i="1"/>
  <c r="Q85" i="1"/>
  <c r="N86" i="1"/>
  <c r="O86" i="1"/>
  <c r="P86" i="1"/>
  <c r="Q86" i="1"/>
  <c r="N87" i="1"/>
  <c r="O87" i="1"/>
  <c r="P87" i="1"/>
  <c r="Q87" i="1"/>
  <c r="N88" i="1"/>
  <c r="O88" i="1"/>
  <c r="P88" i="1"/>
  <c r="Q88" i="1"/>
  <c r="N89" i="1"/>
  <c r="O89" i="1"/>
  <c r="P89" i="1"/>
  <c r="Q89" i="1"/>
  <c r="N90" i="1"/>
  <c r="O90" i="1"/>
  <c r="P90" i="1"/>
  <c r="Q90" i="1"/>
  <c r="N91" i="1"/>
  <c r="O91" i="1"/>
  <c r="P91" i="1"/>
  <c r="Q91" i="1"/>
  <c r="N92" i="1"/>
  <c r="O92" i="1"/>
  <c r="P92" i="1"/>
  <c r="Q92" i="1"/>
  <c r="N93" i="1"/>
  <c r="O93" i="1"/>
  <c r="P93" i="1"/>
  <c r="Q93" i="1"/>
  <c r="N94" i="1"/>
  <c r="O94" i="1"/>
  <c r="P94" i="1"/>
  <c r="Q94" i="1"/>
  <c r="N95" i="1"/>
  <c r="O95" i="1"/>
  <c r="P95" i="1"/>
  <c r="Q95" i="1"/>
  <c r="N96" i="1"/>
  <c r="O96" i="1"/>
  <c r="P96" i="1"/>
  <c r="Q96" i="1"/>
  <c r="N97" i="1"/>
  <c r="O97" i="1"/>
  <c r="P97" i="1"/>
  <c r="Q97" i="1"/>
  <c r="N98" i="1"/>
  <c r="O98" i="1"/>
  <c r="P98" i="1"/>
  <c r="Q98" i="1"/>
  <c r="N99" i="1"/>
  <c r="O99" i="1"/>
  <c r="P99" i="1"/>
  <c r="Q99" i="1"/>
  <c r="N100" i="1"/>
  <c r="O100" i="1"/>
  <c r="P100" i="1"/>
  <c r="Q100" i="1"/>
  <c r="N101" i="1"/>
  <c r="O101" i="1"/>
  <c r="P101" i="1"/>
  <c r="Q101" i="1"/>
  <c r="N102" i="1"/>
  <c r="O102" i="1"/>
  <c r="P102" i="1"/>
  <c r="Q102" i="1"/>
  <c r="N103" i="1"/>
  <c r="O103" i="1"/>
  <c r="P103" i="1"/>
  <c r="Q103" i="1"/>
  <c r="N104" i="1"/>
  <c r="O104" i="1"/>
  <c r="P104" i="1"/>
  <c r="Q104" i="1"/>
  <c r="N105" i="1"/>
  <c r="O105" i="1"/>
  <c r="P105" i="1"/>
  <c r="Q105" i="1"/>
  <c r="N106" i="1"/>
  <c r="O106" i="1"/>
  <c r="P106" i="1"/>
  <c r="Q106" i="1"/>
  <c r="N107" i="1"/>
  <c r="O107" i="1"/>
  <c r="P107" i="1"/>
  <c r="Q107" i="1"/>
  <c r="N108" i="1"/>
  <c r="O108" i="1"/>
  <c r="P108" i="1"/>
  <c r="Q108" i="1"/>
  <c r="N109" i="1"/>
  <c r="O109" i="1"/>
  <c r="P109" i="1"/>
  <c r="Q109" i="1"/>
  <c r="N110" i="1"/>
  <c r="O110" i="1"/>
  <c r="P110" i="1"/>
  <c r="Q110" i="1"/>
  <c r="N111" i="1"/>
  <c r="O111" i="1"/>
  <c r="P111" i="1"/>
  <c r="Q111" i="1"/>
  <c r="N112" i="1"/>
  <c r="O112" i="1"/>
  <c r="P112" i="1"/>
  <c r="Q112" i="1"/>
  <c r="N113" i="1"/>
  <c r="O113" i="1"/>
  <c r="P113" i="1"/>
  <c r="Q113" i="1"/>
  <c r="N114" i="1"/>
  <c r="O114" i="1"/>
  <c r="P114" i="1"/>
  <c r="Q114" i="1"/>
  <c r="N115" i="1"/>
  <c r="O115" i="1"/>
  <c r="P115" i="1"/>
  <c r="Q115" i="1"/>
  <c r="N116" i="1"/>
  <c r="O116" i="1"/>
  <c r="P116" i="1"/>
  <c r="Q116" i="1"/>
  <c r="N117" i="1"/>
  <c r="O117" i="1"/>
  <c r="P117" i="1"/>
  <c r="Q117" i="1"/>
  <c r="N118" i="1"/>
  <c r="O118" i="1"/>
  <c r="P118" i="1"/>
  <c r="Q118" i="1"/>
  <c r="N119" i="1"/>
  <c r="O119" i="1"/>
  <c r="P119" i="1"/>
  <c r="Q119" i="1"/>
  <c r="N120" i="1"/>
  <c r="O120" i="1"/>
  <c r="P120" i="1"/>
  <c r="Q120" i="1"/>
  <c r="N121" i="1"/>
  <c r="O121" i="1"/>
  <c r="P121" i="1"/>
  <c r="N122" i="1"/>
  <c r="O122" i="1"/>
  <c r="P122" i="1"/>
  <c r="Q122" i="1"/>
  <c r="O3" i="1"/>
  <c r="N4" i="1"/>
  <c r="O4" i="1"/>
  <c r="P4" i="1"/>
  <c r="Q4" i="1"/>
  <c r="N5" i="1"/>
  <c r="O5" i="1"/>
  <c r="P5" i="1"/>
  <c r="Q5" i="1"/>
  <c r="N6" i="1"/>
  <c r="O6" i="1"/>
  <c r="P6" i="1"/>
  <c r="Q6" i="1"/>
  <c r="N7" i="1"/>
  <c r="O7" i="1"/>
  <c r="P7" i="1"/>
  <c r="Q7" i="1"/>
  <c r="N8" i="1"/>
  <c r="O8" i="1"/>
  <c r="P8" i="1"/>
  <c r="Q8" i="1"/>
  <c r="N9" i="1"/>
  <c r="O9" i="1"/>
  <c r="P9" i="1"/>
  <c r="Q9" i="1"/>
  <c r="N10" i="1"/>
  <c r="O10" i="1"/>
  <c r="P10" i="1"/>
  <c r="Q10" i="1"/>
  <c r="N11" i="1"/>
  <c r="O11" i="1"/>
  <c r="P11" i="1"/>
  <c r="Q11" i="1"/>
  <c r="N12" i="1"/>
  <c r="O12" i="1"/>
  <c r="P12" i="1"/>
  <c r="Q12" i="1"/>
  <c r="N13" i="1"/>
  <c r="O13" i="1"/>
  <c r="P13" i="1"/>
  <c r="Q13" i="1"/>
  <c r="N14" i="1"/>
  <c r="O14" i="1"/>
  <c r="P14" i="1"/>
  <c r="Q14" i="1"/>
  <c r="N15" i="1"/>
  <c r="O15" i="1"/>
  <c r="P15" i="1"/>
  <c r="Q15" i="1"/>
  <c r="N16" i="1"/>
  <c r="O16" i="1"/>
  <c r="P16" i="1"/>
  <c r="Q16" i="1"/>
  <c r="N17" i="1"/>
  <c r="O17" i="1"/>
  <c r="P17" i="1"/>
  <c r="Q17" i="1"/>
  <c r="N18" i="1"/>
  <c r="O18" i="1"/>
  <c r="P18" i="1"/>
  <c r="Q18" i="1"/>
  <c r="N19" i="1"/>
  <c r="O19" i="1"/>
  <c r="P19" i="1"/>
  <c r="Q19" i="1"/>
  <c r="N20" i="1"/>
  <c r="O20" i="1"/>
  <c r="P20" i="1"/>
  <c r="Q20" i="1"/>
  <c r="N21" i="1"/>
  <c r="O21" i="1"/>
  <c r="P21" i="1"/>
  <c r="Q21" i="1"/>
  <c r="N22" i="1"/>
  <c r="O22" i="1"/>
  <c r="P22" i="1"/>
  <c r="Q22" i="1"/>
  <c r="N23" i="1"/>
  <c r="O23" i="1"/>
  <c r="P23" i="1"/>
  <c r="Q23" i="1"/>
  <c r="N24" i="1"/>
  <c r="O24" i="1"/>
  <c r="P24" i="1"/>
  <c r="Q24" i="1"/>
  <c r="N25" i="1"/>
  <c r="O25" i="1"/>
  <c r="P25" i="1"/>
  <c r="Q25" i="1"/>
  <c r="N26" i="1"/>
  <c r="O26" i="1"/>
  <c r="P26" i="1"/>
  <c r="Q26" i="1"/>
  <c r="N27" i="1"/>
  <c r="O27" i="1"/>
  <c r="P27" i="1"/>
  <c r="Q27" i="1"/>
  <c r="N28" i="1"/>
  <c r="O28" i="1"/>
  <c r="P28" i="1"/>
  <c r="Q28" i="1"/>
  <c r="N29" i="1"/>
  <c r="O29" i="1"/>
  <c r="P29" i="1"/>
  <c r="Q29" i="1"/>
  <c r="N30" i="1"/>
  <c r="O30" i="1"/>
  <c r="P30" i="1"/>
  <c r="Q30" i="1"/>
  <c r="N31" i="1"/>
  <c r="O31" i="1"/>
  <c r="P31" i="1"/>
  <c r="Q31" i="1"/>
  <c r="P32" i="1"/>
  <c r="O32" i="1"/>
  <c r="N127" i="1" l="1"/>
  <c r="N126" i="1"/>
  <c r="P127" i="1"/>
  <c r="P126" i="1"/>
  <c r="Q127" i="1"/>
  <c r="Q126" i="1"/>
  <c r="R127" i="1"/>
  <c r="R126" i="1"/>
  <c r="O128" i="1" a="1"/>
  <c r="O128" i="1" s="1"/>
  <c r="N128" i="1" a="1"/>
  <c r="N128" i="1" s="1"/>
  <c r="P128" i="1" a="1"/>
  <c r="P128" i="1" s="1"/>
  <c r="Q128" i="1" a="1"/>
  <c r="Q128" i="1" s="1"/>
  <c r="R128" i="1" a="1"/>
  <c r="R128" i="1" s="1"/>
  <c r="O127" i="1"/>
  <c r="O12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<sst xmlns="http://schemas.openxmlformats.org/spreadsheetml/2006/main" count="246" uniqueCount="45">
  <si>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</si>
  <si>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</si>
  <si>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</si>
  <si>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</si>
  <si>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</si>
  <si>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</si>
  <si>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</si>
  <si>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</si>
  <si>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</si>
  <si>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</si>
  <si>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</si>
  <si>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</si>
  <si>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</si>
  <si>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MAM</t>
  </si>
  <si>
    <t>JJA</t>
  </si>
  <si>
    <t>SON</t>
  </si>
  <si>
    <t>DJF</t>
  </si>
  <si>
    <t>RW</t>
  </si>
  <si>
    <t>EWBi_C160</t>
  </si>
  <si>
    <t>EWBi_LR</t>
  </si>
  <si>
    <t>EWBi_Mean</t>
  </si>
  <si>
    <t>LWBi_C160</t>
  </si>
  <si>
    <t>LWBi_LR</t>
  </si>
  <si>
    <t>LWBi_MLan</t>
  </si>
  <si>
    <t>DBi_C160</t>
  </si>
  <si>
    <t>DBi_LR</t>
  </si>
  <si>
    <t>DBi_MLan</t>
  </si>
  <si>
    <r>
      <t xml:space="preserve">Precip_Bariloche </t>
    </r>
    <r>
      <rPr>
        <sz val="10"/>
        <rFont val="Calibri"/>
        <family val="2"/>
        <scheme val="minor"/>
      </rPr>
      <t>(homogenized record by Ricardo based on KNMI and SMN)</t>
    </r>
  </si>
  <si>
    <r>
      <t xml:space="preserve">Mean tmp_Bariloche </t>
    </r>
    <r>
      <rPr>
        <sz val="10"/>
        <rFont val="Calibri"/>
        <family val="2"/>
        <scheme val="minor"/>
      </rPr>
      <t>(homogenized record by Ricardo based on NASA and SMN)</t>
    </r>
  </si>
  <si>
    <r>
      <t xml:space="preserve">scPDSI </t>
    </r>
    <r>
      <rPr>
        <sz val="10"/>
        <rFont val="Calibri"/>
        <family val="2"/>
        <scheme val="minor"/>
      </rPr>
      <t>(grid box region lon=  -72.500  -70.000, lat=  -42.500  -40.000, downloaded from KNMI climate explorer)</t>
    </r>
  </si>
  <si>
    <t>Mean tmp_era5</t>
  </si>
  <si>
    <t>Precip_CRU TS4.06</t>
  </si>
  <si>
    <t>Max tmp_era5</t>
  </si>
  <si>
    <t>Precip_era5 (lon=  288.125  288.375, lat=  -41.375  -41.125)</t>
  </si>
  <si>
    <r>
      <t xml:space="preserve">scPDSI_CRU </t>
    </r>
    <r>
      <rPr>
        <sz val="10"/>
        <rFont val="Calibri"/>
        <family val="2"/>
        <scheme val="minor"/>
      </rPr>
      <t>(monthly CRU scPDSI 4.05early -71.75E -41.25N mean)</t>
    </r>
  </si>
  <si>
    <t>SPEI1</t>
  </si>
  <si>
    <t>DJFMA</t>
  </si>
  <si>
    <t>DJFMAM</t>
  </si>
  <si>
    <t>Mean</t>
  </si>
  <si>
    <t>SD</t>
  </si>
  <si>
    <t>NDJFMAM</t>
  </si>
  <si>
    <t>Total</t>
  </si>
  <si>
    <t>Autocorr 1</t>
  </si>
  <si>
    <t>DJFMAM*</t>
  </si>
  <si>
    <t>* - linear trend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</si>
</sst>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  <charset val="1"/>
    </font>
    <font>
      <sz val="10"/>
      <color rgb="FF0000FF"/>
      <name val="Calibri"/>
      <family val="2"/>
      <scheme val="minor"/>
    </font>
    <font>
      <b/>
      <sz val="10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22">
    <xf numFmtId="0" fontId="0" fillId="0" borderId="0" xfId="0"/>
    <xf numFmtId="0" fontId="2" fillId="0" borderId="0" xfId="1" applyFont="1"/>
    <xf numFmtId="0" fontId="3" fillId="0" borderId="0" xfId="1" applyFont="1"/>
    <xf numFmtId="0" fontId="2" fillId="2" borderId="0" xfId="1" applyFont="1" applyFill="1"/>
    <xf numFmtId="164" fontId="0" fillId="0" borderId="0" xfId="0" applyNumberFormat="1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2" xfId="0" applyBorder="1"/>
    <xf numFmtId="0" fontId="0" fillId="0" borderId="3" xfId="0" applyBorder="1"/>
    <xf numFmtId="164" fontId="0" fillId="0" borderId="2" xfId="0" applyNumberFormat="1" applyBorder="1"/>
    <xf numFmtId="164" fontId="0" fillId="0" borderId="3" xfId="0" applyNumberFormat="1" applyBorder="1"/>
    <xf numFmtId="0" fontId="0" fillId="3" borderId="0" xfId="0" applyFill="1"/>
    <xf numFmtId="2" fontId="0" fillId="0" borderId="0" xfId="0" applyNumberFormat="1"/>
    <xf numFmtId="0" fontId="5" fillId="0" borderId="0" xfId="1" applyFont="1"/>
    <xf numFmtId="0" fontId="7" fillId="0" borderId="0" xfId="0" applyFont="1"/>
    <xf numFmtId="2" fontId="7" fillId="0" borderId="0" xfId="0" applyNumberFormat="1" applyFont="1"/>
    <xf numFmtId="0" fontId="7" fillId="0" borderId="0" xfId="0" applyFont="1" applyAlignment="1">
      <alignment horizontal="right"/>
    </xf>
    <xf numFmtId="165" fontId="7" fillId="0" borderId="0" xfId="0" applyNumberFormat="1" applyFont="1" applyAlignment="1">
      <alignment horizontal="right"/>
    </xf>
    <xf numFmtId="2" fontId="6" fillId="2" borderId="0" xfId="1" applyNumberFormat="1" applyFont="1" applyFill="1"/>
    <xf numFmtId="2" fontId="7" fillId="3" borderId="0" xfId="0" applyNumberFormat="1" applyFont="1" applyFill="1"/>
    <xf numFmtId="0" fontId="7" fillId="4" borderId="0" xfId="0" applyFont="1" applyFill="1"/>
    <xf numFmtId="2" fontId="7" fillId="4" borderId="0" xfId="0" applyNumberFormat="1" applyFont="1" applyFill="1"/>
  </cellXfs>
  <cellStyles count="3">
    <cellStyle name="Normal" xfId="0" builtinId="0"/>
    <cellStyle name="Normal 2" xfId="1" xr:uid="{1F46D72E-2CCA-4683-AF36-0D74BC4A1DC4}"/>
    <cellStyle name="Normal 3" xfId="2" xr:uid="{3EAE5960-E5DE-433C-B1B9-6E0B0563247C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Tmp_Bariloche!$S$2</c:f>
              <c:strCache>
                <c:ptCount val="1"/>
                <c:pt idx="0">
                  <c:v>DJFMAM</c:v>
                </c:pt>
              </c:strCache>
            </c:strRef>
          </c:tx>
          <c:marker>
            <c:symbol val="none"/>
          </c:marker>
          <c:cat>
            <c:numRef>
              <c:f>Tmp_Bariloche!$A$32:$A$121</c:f>
              <c:numCache>
                <c:formatCode>General</c:formatCode>
                <c:ptCount val="90"/>
                <c:pt idx="0">
                  <c:v>1931</c:v>
                </c:pt>
                <c:pt idx="1">
                  <c:v>1932</c:v>
                </c:pt>
                <c:pt idx="2">
                  <c:v>1933</c:v>
                </c:pt>
                <c:pt idx="3">
                  <c:v>1934</c:v>
                </c:pt>
                <c:pt idx="4">
                  <c:v>1935</c:v>
                </c:pt>
                <c:pt idx="5">
                  <c:v>1936</c:v>
                </c:pt>
                <c:pt idx="6">
                  <c:v>1937</c:v>
                </c:pt>
                <c:pt idx="7">
                  <c:v>1938</c:v>
                </c:pt>
                <c:pt idx="8">
                  <c:v>1939</c:v>
                </c:pt>
                <c:pt idx="9">
                  <c:v>1940</c:v>
                </c:pt>
                <c:pt idx="10">
                  <c:v>1941</c:v>
                </c:pt>
                <c:pt idx="11">
                  <c:v>1942</c:v>
                </c:pt>
                <c:pt idx="12">
                  <c:v>1943</c:v>
                </c:pt>
                <c:pt idx="13">
                  <c:v>1944</c:v>
                </c:pt>
                <c:pt idx="14">
                  <c:v>1945</c:v>
                </c:pt>
                <c:pt idx="15">
                  <c:v>1946</c:v>
                </c:pt>
                <c:pt idx="16">
                  <c:v>1947</c:v>
                </c:pt>
                <c:pt idx="17">
                  <c:v>1948</c:v>
                </c:pt>
                <c:pt idx="18">
                  <c:v>1949</c:v>
                </c:pt>
                <c:pt idx="19">
                  <c:v>1950</c:v>
                </c:pt>
                <c:pt idx="20">
                  <c:v>1951</c:v>
                </c:pt>
                <c:pt idx="21">
                  <c:v>1952</c:v>
                </c:pt>
                <c:pt idx="22">
                  <c:v>1953</c:v>
                </c:pt>
                <c:pt idx="23">
                  <c:v>1954</c:v>
                </c:pt>
                <c:pt idx="24">
                  <c:v>1955</c:v>
                </c:pt>
                <c:pt idx="25">
                  <c:v>1956</c:v>
                </c:pt>
                <c:pt idx="26">
                  <c:v>1957</c:v>
                </c:pt>
                <c:pt idx="27">
                  <c:v>1958</c:v>
                </c:pt>
                <c:pt idx="28">
                  <c:v>1959</c:v>
                </c:pt>
                <c:pt idx="29">
                  <c:v>1960</c:v>
                </c:pt>
                <c:pt idx="30">
                  <c:v>1961</c:v>
                </c:pt>
                <c:pt idx="31">
                  <c:v>1962</c:v>
                </c:pt>
                <c:pt idx="32">
                  <c:v>1963</c:v>
                </c:pt>
                <c:pt idx="33">
                  <c:v>1964</c:v>
                </c:pt>
                <c:pt idx="34">
                  <c:v>1965</c:v>
                </c:pt>
                <c:pt idx="35">
                  <c:v>1966</c:v>
                </c:pt>
                <c:pt idx="36">
                  <c:v>1967</c:v>
                </c:pt>
                <c:pt idx="37">
                  <c:v>1968</c:v>
                </c:pt>
                <c:pt idx="38">
                  <c:v>1969</c:v>
                </c:pt>
                <c:pt idx="39">
                  <c:v>1970</c:v>
                </c:pt>
                <c:pt idx="40">
                  <c:v>1971</c:v>
                </c:pt>
                <c:pt idx="41">
                  <c:v>1972</c:v>
                </c:pt>
                <c:pt idx="42">
                  <c:v>1973</c:v>
                </c:pt>
                <c:pt idx="43">
                  <c:v>1974</c:v>
                </c:pt>
                <c:pt idx="44">
                  <c:v>1975</c:v>
                </c:pt>
                <c:pt idx="45">
                  <c:v>1976</c:v>
                </c:pt>
                <c:pt idx="46">
                  <c:v>1977</c:v>
                </c:pt>
                <c:pt idx="47">
                  <c:v>1978</c:v>
                </c:pt>
                <c:pt idx="48">
                  <c:v>1979</c:v>
                </c:pt>
                <c:pt idx="49">
                  <c:v>1980</c:v>
                </c:pt>
                <c:pt idx="50">
                  <c:v>1981</c:v>
                </c:pt>
                <c:pt idx="51">
                  <c:v>1982</c:v>
                </c:pt>
                <c:pt idx="52">
                  <c:v>1983</c:v>
                </c:pt>
                <c:pt idx="53">
                  <c:v>1984</c:v>
                </c:pt>
                <c:pt idx="54">
                  <c:v>1985</c:v>
                </c:pt>
                <c:pt idx="55">
                  <c:v>1986</c:v>
                </c:pt>
                <c:pt idx="56">
                  <c:v>1987</c:v>
                </c:pt>
                <c:pt idx="57">
                  <c:v>1988</c:v>
                </c:pt>
                <c:pt idx="58">
                  <c:v>1989</c:v>
                </c:pt>
                <c:pt idx="59">
                  <c:v>1990</c:v>
                </c:pt>
                <c:pt idx="60">
                  <c:v>1991</c:v>
                </c:pt>
                <c:pt idx="61">
                  <c:v>1992</c:v>
                </c:pt>
                <c:pt idx="62">
                  <c:v>1993</c:v>
                </c:pt>
                <c:pt idx="63">
                  <c:v>1994</c:v>
                </c:pt>
                <c:pt idx="64">
                  <c:v>1995</c:v>
                </c:pt>
                <c:pt idx="65">
                  <c:v>1996</c:v>
                </c:pt>
                <c:pt idx="66">
                  <c:v>1997</c:v>
                </c:pt>
                <c:pt idx="67">
                  <c:v>1998</c:v>
                </c:pt>
                <c:pt idx="68">
                  <c:v>1999</c:v>
                </c:pt>
                <c:pt idx="69">
                  <c:v>2000</c:v>
                </c:pt>
                <c:pt idx="70">
                  <c:v>2001</c:v>
                </c:pt>
                <c:pt idx="71">
                  <c:v>2002</c:v>
                </c:pt>
                <c:pt idx="72">
                  <c:v>2003</c:v>
                </c:pt>
                <c:pt idx="73">
                  <c:v>2004</c:v>
                </c:pt>
                <c:pt idx="74">
                  <c:v>2005</c:v>
                </c:pt>
                <c:pt idx="75">
                  <c:v>2006</c:v>
                </c:pt>
                <c:pt idx="76">
                  <c:v>2007</c:v>
                </c:pt>
                <c:pt idx="77">
                  <c:v>2008</c:v>
                </c:pt>
                <c:pt idx="78">
                  <c:v>2009</c:v>
                </c:pt>
                <c:pt idx="79">
                  <c:v>2010</c:v>
                </c:pt>
                <c:pt idx="80">
                  <c:v>2011</c:v>
                </c:pt>
                <c:pt idx="81">
                  <c:v>2012</c:v>
                </c:pt>
                <c:pt idx="82">
                  <c:v>2013</c:v>
                </c:pt>
                <c:pt idx="83">
                  <c:v>2014</c:v>
                </c:pt>
                <c:pt idx="84">
                  <c:v>2015</c:v>
                </c:pt>
                <c:pt idx="85">
                  <c:v>2016</c:v>
                </c:pt>
                <c:pt idx="86">
                  <c:v>2017</c:v>
                </c:pt>
                <c:pt idx="87">
                  <c:v>2018</c:v>
                </c:pt>
                <c:pt idx="88">
                  <c:v>2019</c:v>
                </c:pt>
                <c:pt idx="89">
                  <c:v>2020</c:v>
                </c:pt>
              </c:numCache>
            </c:numRef>
          </c:cat>
          <c:val>
            <c:numRef>
              <c:f>Tmp_Bariloche!$S$32:$S$122</c:f>
              <c:numCache>
                <c:formatCode>0.00</c:formatCode>
                <c:ptCount val="91"/>
                <c:pt idx="0">
                  <c:v>11.183333333333332</c:v>
                </c:pt>
                <c:pt idx="1">
                  <c:v>10.35</c:v>
                </c:pt>
                <c:pt idx="2">
                  <c:v>10.066666666666668</c:v>
                </c:pt>
                <c:pt idx="3">
                  <c:v>11.699999999999998</c:v>
                </c:pt>
                <c:pt idx="4">
                  <c:v>10.466666666666667</c:v>
                </c:pt>
                <c:pt idx="5">
                  <c:v>10.1</c:v>
                </c:pt>
                <c:pt idx="6">
                  <c:v>10.1</c:v>
                </c:pt>
                <c:pt idx="7">
                  <c:v>10.183333333333334</c:v>
                </c:pt>
                <c:pt idx="8">
                  <c:v>11.1</c:v>
                </c:pt>
                <c:pt idx="9">
                  <c:v>10.483333333333333</c:v>
                </c:pt>
                <c:pt idx="10">
                  <c:v>10.016666666666667</c:v>
                </c:pt>
                <c:pt idx="11">
                  <c:v>11.75</c:v>
                </c:pt>
                <c:pt idx="12">
                  <c:v>12.566666666666668</c:v>
                </c:pt>
                <c:pt idx="13">
                  <c:v>12.25</c:v>
                </c:pt>
                <c:pt idx="14">
                  <c:v>10.316666666666668</c:v>
                </c:pt>
                <c:pt idx="15">
                  <c:v>10.383333333333333</c:v>
                </c:pt>
                <c:pt idx="16">
                  <c:v>10.516666666666667</c:v>
                </c:pt>
                <c:pt idx="17">
                  <c:v>10.549999999999999</c:v>
                </c:pt>
                <c:pt idx="18">
                  <c:v>10.916666666666666</c:v>
                </c:pt>
                <c:pt idx="19">
                  <c:v>10.333333333333334</c:v>
                </c:pt>
                <c:pt idx="20">
                  <c:v>11.699999999999998</c:v>
                </c:pt>
                <c:pt idx="21">
                  <c:v>12.016666666666666</c:v>
                </c:pt>
                <c:pt idx="22">
                  <c:v>11.366666666666667</c:v>
                </c:pt>
                <c:pt idx="23">
                  <c:v>10.700000000000001</c:v>
                </c:pt>
                <c:pt idx="24">
                  <c:v>9.2999999999999989</c:v>
                </c:pt>
                <c:pt idx="25">
                  <c:v>12.183333333333332</c:v>
                </c:pt>
                <c:pt idx="26">
                  <c:v>10.816666666666665</c:v>
                </c:pt>
                <c:pt idx="27">
                  <c:v>11.083333333333334</c:v>
                </c:pt>
                <c:pt idx="28">
                  <c:v>11.983333333333333</c:v>
                </c:pt>
                <c:pt idx="29">
                  <c:v>10.549999999999999</c:v>
                </c:pt>
                <c:pt idx="30">
                  <c:v>11.833333333333334</c:v>
                </c:pt>
                <c:pt idx="31">
                  <c:v>11.683333333333332</c:v>
                </c:pt>
                <c:pt idx="32">
                  <c:v>10.483333333333333</c:v>
                </c:pt>
                <c:pt idx="33">
                  <c:v>10.549999999999999</c:v>
                </c:pt>
                <c:pt idx="34">
                  <c:v>10.799999999999999</c:v>
                </c:pt>
                <c:pt idx="35">
                  <c:v>10.516666666666667</c:v>
                </c:pt>
                <c:pt idx="36">
                  <c:v>11.450000000000001</c:v>
                </c:pt>
                <c:pt idx="37">
                  <c:v>10.866666666666667</c:v>
                </c:pt>
                <c:pt idx="38">
                  <c:v>11.750000000000002</c:v>
                </c:pt>
                <c:pt idx="39">
                  <c:v>9.35</c:v>
                </c:pt>
                <c:pt idx="40">
                  <c:v>10.233333333333334</c:v>
                </c:pt>
                <c:pt idx="41">
                  <c:v>11.1</c:v>
                </c:pt>
                <c:pt idx="42">
                  <c:v>10.566666666666668</c:v>
                </c:pt>
                <c:pt idx="43">
                  <c:v>11.083333333333334</c:v>
                </c:pt>
                <c:pt idx="44">
                  <c:v>9.9833333333333343</c:v>
                </c:pt>
                <c:pt idx="45">
                  <c:v>11.166666666666666</c:v>
                </c:pt>
                <c:pt idx="46">
                  <c:v>11.983333333333333</c:v>
                </c:pt>
                <c:pt idx="47">
                  <c:v>12.366666666666667</c:v>
                </c:pt>
                <c:pt idx="48">
                  <c:v>11.216666666666667</c:v>
                </c:pt>
                <c:pt idx="49">
                  <c:v>11.416666666666666</c:v>
                </c:pt>
                <c:pt idx="50">
                  <c:v>11.716666666666667</c:v>
                </c:pt>
                <c:pt idx="51">
                  <c:v>11.466666666666667</c:v>
                </c:pt>
                <c:pt idx="52">
                  <c:v>10.949999999999998</c:v>
                </c:pt>
                <c:pt idx="53">
                  <c:v>10.65</c:v>
                </c:pt>
                <c:pt idx="54">
                  <c:v>11.25</c:v>
                </c:pt>
                <c:pt idx="55">
                  <c:v>11.9</c:v>
                </c:pt>
                <c:pt idx="56">
                  <c:v>11.416666666666666</c:v>
                </c:pt>
                <c:pt idx="57">
                  <c:v>11.216666666666667</c:v>
                </c:pt>
                <c:pt idx="58">
                  <c:v>11.316666666666668</c:v>
                </c:pt>
                <c:pt idx="59">
                  <c:v>11.266666666666666</c:v>
                </c:pt>
                <c:pt idx="60">
                  <c:v>10.733333333333334</c:v>
                </c:pt>
                <c:pt idx="61">
                  <c:v>11.083333333333334</c:v>
                </c:pt>
                <c:pt idx="62">
                  <c:v>11.649999999999999</c:v>
                </c:pt>
                <c:pt idx="63">
                  <c:v>10.799999999999999</c:v>
                </c:pt>
                <c:pt idx="64">
                  <c:v>11.833333333333334</c:v>
                </c:pt>
                <c:pt idx="65">
                  <c:v>11.4</c:v>
                </c:pt>
                <c:pt idx="66">
                  <c:v>11.283333333333331</c:v>
                </c:pt>
                <c:pt idx="67">
                  <c:v>11.75</c:v>
                </c:pt>
                <c:pt idx="68">
                  <c:v>11.016666666666666</c:v>
                </c:pt>
                <c:pt idx="69">
                  <c:v>10.483333333333333</c:v>
                </c:pt>
                <c:pt idx="70">
                  <c:v>11.85</c:v>
                </c:pt>
                <c:pt idx="71">
                  <c:v>11.316666666666668</c:v>
                </c:pt>
                <c:pt idx="72">
                  <c:v>11.283333333333333</c:v>
                </c:pt>
                <c:pt idx="73">
                  <c:v>11.183333333333335</c:v>
                </c:pt>
                <c:pt idx="74">
                  <c:v>11.450000000000001</c:v>
                </c:pt>
                <c:pt idx="75">
                  <c:v>10.500000000000002</c:v>
                </c:pt>
                <c:pt idx="76">
                  <c:v>12.25</c:v>
                </c:pt>
                <c:pt idx="77">
                  <c:v>12.383333333333333</c:v>
                </c:pt>
                <c:pt idx="78">
                  <c:v>10.85</c:v>
                </c:pt>
                <c:pt idx="79">
                  <c:v>11.399999999999999</c:v>
                </c:pt>
                <c:pt idx="80">
                  <c:v>12.200000000000001</c:v>
                </c:pt>
                <c:pt idx="81">
                  <c:v>11.733333333333333</c:v>
                </c:pt>
                <c:pt idx="82">
                  <c:v>11.633333333333331</c:v>
                </c:pt>
                <c:pt idx="83">
                  <c:v>12.366666666666667</c:v>
                </c:pt>
                <c:pt idx="84">
                  <c:v>12.216666666666669</c:v>
                </c:pt>
                <c:pt idx="85">
                  <c:v>12</c:v>
                </c:pt>
                <c:pt idx="86">
                  <c:v>11.75</c:v>
                </c:pt>
                <c:pt idx="87">
                  <c:v>11.83333333333333</c:v>
                </c:pt>
                <c:pt idx="88">
                  <c:v>12.266666666666666</c:v>
                </c:pt>
                <c:pt idx="89">
                  <c:v>12.783333333333331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3E5-4390-923D-BFC5B2860F4A}"/>
            </c:ext>
          </c:extLst>
        </c:ser>
        <c:ser>
          <c:idx val="0"/>
          <c:order val="1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2427957939768966E-4"/>
                  <c:y val="-0.186333806395286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cat>
            <c:numRef>
              <c:f>Tmp_Bariloche!$A$32:$A$121</c:f>
              <c:numCache>
                <c:formatCode>General</c:formatCode>
                <c:ptCount val="90"/>
                <c:pt idx="0">
                  <c:v>1931</c:v>
                </c:pt>
                <c:pt idx="1">
                  <c:v>1932</c:v>
                </c:pt>
                <c:pt idx="2">
                  <c:v>1933</c:v>
                </c:pt>
                <c:pt idx="3">
                  <c:v>1934</c:v>
                </c:pt>
                <c:pt idx="4">
                  <c:v>1935</c:v>
                </c:pt>
                <c:pt idx="5">
                  <c:v>1936</c:v>
                </c:pt>
                <c:pt idx="6">
                  <c:v>1937</c:v>
                </c:pt>
                <c:pt idx="7">
                  <c:v>1938</c:v>
                </c:pt>
                <c:pt idx="8">
                  <c:v>1939</c:v>
                </c:pt>
                <c:pt idx="9">
                  <c:v>1940</c:v>
                </c:pt>
                <c:pt idx="10">
                  <c:v>1941</c:v>
                </c:pt>
                <c:pt idx="11">
                  <c:v>1942</c:v>
                </c:pt>
                <c:pt idx="12">
                  <c:v>1943</c:v>
                </c:pt>
                <c:pt idx="13">
                  <c:v>1944</c:v>
                </c:pt>
                <c:pt idx="14">
                  <c:v>1945</c:v>
                </c:pt>
                <c:pt idx="15">
                  <c:v>1946</c:v>
                </c:pt>
                <c:pt idx="16">
                  <c:v>1947</c:v>
                </c:pt>
                <c:pt idx="17">
                  <c:v>1948</c:v>
                </c:pt>
                <c:pt idx="18">
                  <c:v>1949</c:v>
                </c:pt>
                <c:pt idx="19">
                  <c:v>1950</c:v>
                </c:pt>
                <c:pt idx="20">
                  <c:v>1951</c:v>
                </c:pt>
                <c:pt idx="21">
                  <c:v>1952</c:v>
                </c:pt>
                <c:pt idx="22">
                  <c:v>1953</c:v>
                </c:pt>
                <c:pt idx="23">
                  <c:v>1954</c:v>
                </c:pt>
                <c:pt idx="24">
                  <c:v>1955</c:v>
                </c:pt>
                <c:pt idx="25">
                  <c:v>1956</c:v>
                </c:pt>
                <c:pt idx="26">
                  <c:v>1957</c:v>
                </c:pt>
                <c:pt idx="27">
                  <c:v>1958</c:v>
                </c:pt>
                <c:pt idx="28">
                  <c:v>1959</c:v>
                </c:pt>
                <c:pt idx="29">
                  <c:v>1960</c:v>
                </c:pt>
                <c:pt idx="30">
                  <c:v>1961</c:v>
                </c:pt>
                <c:pt idx="31">
                  <c:v>1962</c:v>
                </c:pt>
                <c:pt idx="32">
                  <c:v>1963</c:v>
                </c:pt>
                <c:pt idx="33">
                  <c:v>1964</c:v>
                </c:pt>
                <c:pt idx="34">
                  <c:v>1965</c:v>
                </c:pt>
                <c:pt idx="35">
                  <c:v>1966</c:v>
                </c:pt>
                <c:pt idx="36">
                  <c:v>1967</c:v>
                </c:pt>
                <c:pt idx="37">
                  <c:v>1968</c:v>
                </c:pt>
                <c:pt idx="38">
                  <c:v>1969</c:v>
                </c:pt>
                <c:pt idx="39">
                  <c:v>1970</c:v>
                </c:pt>
                <c:pt idx="40">
                  <c:v>1971</c:v>
                </c:pt>
                <c:pt idx="41">
                  <c:v>1972</c:v>
                </c:pt>
                <c:pt idx="42">
                  <c:v>1973</c:v>
                </c:pt>
                <c:pt idx="43">
                  <c:v>1974</c:v>
                </c:pt>
                <c:pt idx="44">
                  <c:v>1975</c:v>
                </c:pt>
                <c:pt idx="45">
                  <c:v>1976</c:v>
                </c:pt>
                <c:pt idx="46">
                  <c:v>1977</c:v>
                </c:pt>
                <c:pt idx="47">
                  <c:v>1978</c:v>
                </c:pt>
                <c:pt idx="48">
                  <c:v>1979</c:v>
                </c:pt>
                <c:pt idx="49">
                  <c:v>1980</c:v>
                </c:pt>
                <c:pt idx="50">
                  <c:v>1981</c:v>
                </c:pt>
                <c:pt idx="51">
                  <c:v>1982</c:v>
                </c:pt>
                <c:pt idx="52">
                  <c:v>1983</c:v>
                </c:pt>
                <c:pt idx="53">
                  <c:v>1984</c:v>
                </c:pt>
                <c:pt idx="54">
                  <c:v>1985</c:v>
                </c:pt>
                <c:pt idx="55">
                  <c:v>1986</c:v>
                </c:pt>
                <c:pt idx="56">
                  <c:v>1987</c:v>
                </c:pt>
                <c:pt idx="57">
                  <c:v>1988</c:v>
                </c:pt>
                <c:pt idx="58">
                  <c:v>1989</c:v>
                </c:pt>
                <c:pt idx="59">
                  <c:v>1990</c:v>
                </c:pt>
                <c:pt idx="60">
                  <c:v>1991</c:v>
                </c:pt>
                <c:pt idx="61">
                  <c:v>1992</c:v>
                </c:pt>
                <c:pt idx="62">
                  <c:v>1993</c:v>
                </c:pt>
                <c:pt idx="63">
                  <c:v>1994</c:v>
                </c:pt>
                <c:pt idx="64">
                  <c:v>1995</c:v>
                </c:pt>
                <c:pt idx="65">
                  <c:v>1996</c:v>
                </c:pt>
                <c:pt idx="66">
                  <c:v>1997</c:v>
                </c:pt>
                <c:pt idx="67">
                  <c:v>1998</c:v>
                </c:pt>
                <c:pt idx="68">
                  <c:v>1999</c:v>
                </c:pt>
                <c:pt idx="69">
                  <c:v>2000</c:v>
                </c:pt>
                <c:pt idx="70">
                  <c:v>2001</c:v>
                </c:pt>
                <c:pt idx="71">
                  <c:v>2002</c:v>
                </c:pt>
                <c:pt idx="72">
                  <c:v>2003</c:v>
                </c:pt>
                <c:pt idx="73">
                  <c:v>2004</c:v>
                </c:pt>
                <c:pt idx="74">
                  <c:v>2005</c:v>
                </c:pt>
                <c:pt idx="75">
                  <c:v>2006</c:v>
                </c:pt>
                <c:pt idx="76">
                  <c:v>2007</c:v>
                </c:pt>
                <c:pt idx="77">
                  <c:v>2008</c:v>
                </c:pt>
                <c:pt idx="78">
                  <c:v>2009</c:v>
                </c:pt>
                <c:pt idx="79">
                  <c:v>2010</c:v>
                </c:pt>
                <c:pt idx="80">
                  <c:v>2011</c:v>
                </c:pt>
                <c:pt idx="81">
                  <c:v>2012</c:v>
                </c:pt>
                <c:pt idx="82">
                  <c:v>2013</c:v>
                </c:pt>
                <c:pt idx="83">
                  <c:v>2014</c:v>
                </c:pt>
                <c:pt idx="84">
                  <c:v>2015</c:v>
                </c:pt>
                <c:pt idx="85">
                  <c:v>2016</c:v>
                </c:pt>
                <c:pt idx="86">
                  <c:v>2017</c:v>
                </c:pt>
                <c:pt idx="87">
                  <c:v>2018</c:v>
                </c:pt>
                <c:pt idx="88">
                  <c:v>2019</c:v>
                </c:pt>
                <c:pt idx="89">
                  <c:v>2020</c:v>
                </c:pt>
              </c:numCache>
            </c:numRef>
          </c:cat>
          <c:val>
            <c:numRef>
              <c:f>Tmp_Bariloche!$S$32:$S$122</c:f>
              <c:numCache>
                <c:formatCode>0.00</c:formatCode>
                <c:ptCount val="91"/>
                <c:pt idx="0">
                  <c:v>11.183333333333332</c:v>
                </c:pt>
                <c:pt idx="1">
                  <c:v>10.35</c:v>
                </c:pt>
                <c:pt idx="2">
                  <c:v>10.066666666666668</c:v>
                </c:pt>
                <c:pt idx="3">
                  <c:v>11.699999999999998</c:v>
                </c:pt>
                <c:pt idx="4">
                  <c:v>10.466666666666667</c:v>
                </c:pt>
                <c:pt idx="5">
                  <c:v>10.1</c:v>
                </c:pt>
                <c:pt idx="6">
                  <c:v>10.1</c:v>
                </c:pt>
                <c:pt idx="7">
                  <c:v>10.183333333333334</c:v>
                </c:pt>
                <c:pt idx="8">
                  <c:v>11.1</c:v>
                </c:pt>
                <c:pt idx="9">
                  <c:v>10.483333333333333</c:v>
                </c:pt>
                <c:pt idx="10">
                  <c:v>10.016666666666667</c:v>
                </c:pt>
                <c:pt idx="11">
                  <c:v>11.75</c:v>
                </c:pt>
                <c:pt idx="12">
                  <c:v>12.566666666666668</c:v>
                </c:pt>
                <c:pt idx="13">
                  <c:v>12.25</c:v>
                </c:pt>
                <c:pt idx="14">
                  <c:v>10.316666666666668</c:v>
                </c:pt>
                <c:pt idx="15">
                  <c:v>10.383333333333333</c:v>
                </c:pt>
                <c:pt idx="16">
                  <c:v>10.516666666666667</c:v>
                </c:pt>
                <c:pt idx="17">
                  <c:v>10.549999999999999</c:v>
                </c:pt>
                <c:pt idx="18">
                  <c:v>10.916666666666666</c:v>
                </c:pt>
                <c:pt idx="19">
                  <c:v>10.333333333333334</c:v>
                </c:pt>
                <c:pt idx="20">
                  <c:v>11.699999999999998</c:v>
                </c:pt>
                <c:pt idx="21">
                  <c:v>12.016666666666666</c:v>
                </c:pt>
                <c:pt idx="22">
                  <c:v>11.366666666666667</c:v>
                </c:pt>
                <c:pt idx="23">
                  <c:v>10.700000000000001</c:v>
                </c:pt>
                <c:pt idx="24">
                  <c:v>9.2999999999999989</c:v>
                </c:pt>
                <c:pt idx="25">
                  <c:v>12.183333333333332</c:v>
                </c:pt>
                <c:pt idx="26">
                  <c:v>10.816666666666665</c:v>
                </c:pt>
                <c:pt idx="27">
                  <c:v>11.083333333333334</c:v>
                </c:pt>
                <c:pt idx="28">
                  <c:v>11.983333333333333</c:v>
                </c:pt>
                <c:pt idx="29">
                  <c:v>10.549999999999999</c:v>
                </c:pt>
                <c:pt idx="30">
                  <c:v>11.833333333333334</c:v>
                </c:pt>
                <c:pt idx="31">
                  <c:v>11.683333333333332</c:v>
                </c:pt>
                <c:pt idx="32">
                  <c:v>10.483333333333333</c:v>
                </c:pt>
                <c:pt idx="33">
                  <c:v>10.549999999999999</c:v>
                </c:pt>
                <c:pt idx="34">
                  <c:v>10.799999999999999</c:v>
                </c:pt>
                <c:pt idx="35">
                  <c:v>10.516666666666667</c:v>
                </c:pt>
                <c:pt idx="36">
                  <c:v>11.450000000000001</c:v>
                </c:pt>
                <c:pt idx="37">
                  <c:v>10.866666666666667</c:v>
                </c:pt>
                <c:pt idx="38">
                  <c:v>11.750000000000002</c:v>
                </c:pt>
                <c:pt idx="39">
                  <c:v>9.35</c:v>
                </c:pt>
                <c:pt idx="40">
                  <c:v>10.233333333333334</c:v>
                </c:pt>
                <c:pt idx="41">
                  <c:v>11.1</c:v>
                </c:pt>
                <c:pt idx="42">
                  <c:v>10.566666666666668</c:v>
                </c:pt>
                <c:pt idx="43">
                  <c:v>11.083333333333334</c:v>
                </c:pt>
                <c:pt idx="44">
                  <c:v>9.9833333333333343</c:v>
                </c:pt>
                <c:pt idx="45">
                  <c:v>11.166666666666666</c:v>
                </c:pt>
                <c:pt idx="46">
                  <c:v>11.983333333333333</c:v>
                </c:pt>
                <c:pt idx="47">
                  <c:v>12.366666666666667</c:v>
                </c:pt>
                <c:pt idx="48">
                  <c:v>11.216666666666667</c:v>
                </c:pt>
                <c:pt idx="49">
                  <c:v>11.416666666666666</c:v>
                </c:pt>
                <c:pt idx="50">
                  <c:v>11.716666666666667</c:v>
                </c:pt>
                <c:pt idx="51">
                  <c:v>11.466666666666667</c:v>
                </c:pt>
                <c:pt idx="52">
                  <c:v>10.949999999999998</c:v>
                </c:pt>
                <c:pt idx="53">
                  <c:v>10.65</c:v>
                </c:pt>
                <c:pt idx="54">
                  <c:v>11.25</c:v>
                </c:pt>
                <c:pt idx="55">
                  <c:v>11.9</c:v>
                </c:pt>
                <c:pt idx="56">
                  <c:v>11.416666666666666</c:v>
                </c:pt>
                <c:pt idx="57">
                  <c:v>11.216666666666667</c:v>
                </c:pt>
                <c:pt idx="58">
                  <c:v>11.316666666666668</c:v>
                </c:pt>
                <c:pt idx="59">
                  <c:v>11.266666666666666</c:v>
                </c:pt>
                <c:pt idx="60">
                  <c:v>10.733333333333334</c:v>
                </c:pt>
                <c:pt idx="61">
                  <c:v>11.083333333333334</c:v>
                </c:pt>
                <c:pt idx="62">
                  <c:v>11.649999999999999</c:v>
                </c:pt>
                <c:pt idx="63">
                  <c:v>10.799999999999999</c:v>
                </c:pt>
                <c:pt idx="64">
                  <c:v>11.833333333333334</c:v>
                </c:pt>
                <c:pt idx="65">
                  <c:v>11.4</c:v>
                </c:pt>
                <c:pt idx="66">
                  <c:v>11.283333333333331</c:v>
                </c:pt>
                <c:pt idx="67">
                  <c:v>11.75</c:v>
                </c:pt>
                <c:pt idx="68">
                  <c:v>11.016666666666666</c:v>
                </c:pt>
                <c:pt idx="69">
                  <c:v>10.483333333333333</c:v>
                </c:pt>
                <c:pt idx="70">
                  <c:v>11.85</c:v>
                </c:pt>
                <c:pt idx="71">
                  <c:v>11.316666666666668</c:v>
                </c:pt>
                <c:pt idx="72">
                  <c:v>11.283333333333333</c:v>
                </c:pt>
                <c:pt idx="73">
                  <c:v>11.183333333333335</c:v>
                </c:pt>
                <c:pt idx="74">
                  <c:v>11.450000000000001</c:v>
                </c:pt>
                <c:pt idx="75">
                  <c:v>10.500000000000002</c:v>
                </c:pt>
                <c:pt idx="76">
                  <c:v>12.25</c:v>
                </c:pt>
                <c:pt idx="77">
                  <c:v>12.383333333333333</c:v>
                </c:pt>
                <c:pt idx="78">
                  <c:v>10.85</c:v>
                </c:pt>
                <c:pt idx="79">
                  <c:v>11.399999999999999</c:v>
                </c:pt>
                <c:pt idx="80">
                  <c:v>12.200000000000001</c:v>
                </c:pt>
                <c:pt idx="81">
                  <c:v>11.733333333333333</c:v>
                </c:pt>
                <c:pt idx="82">
                  <c:v>11.633333333333331</c:v>
                </c:pt>
                <c:pt idx="83">
                  <c:v>12.366666666666667</c:v>
                </c:pt>
                <c:pt idx="84">
                  <c:v>12.216666666666669</c:v>
                </c:pt>
                <c:pt idx="85">
                  <c:v>12</c:v>
                </c:pt>
                <c:pt idx="86">
                  <c:v>11.75</c:v>
                </c:pt>
                <c:pt idx="87">
                  <c:v>11.83333333333333</c:v>
                </c:pt>
                <c:pt idx="88">
                  <c:v>12.266666666666666</c:v>
                </c:pt>
                <c:pt idx="89">
                  <c:v>12.783333333333331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3E5-4390-923D-BFC5B2860F4A}"/>
            </c:ext>
          </c:extLst>
        </c:ser>
        <c:ser>
          <c:idx val="2"/>
          <c:order val="2"/>
          <c:tx>
            <c:strRef>
              <c:f>Tmp_Bariloche!$T$2</c:f>
              <c:strCache>
                <c:ptCount val="1"/>
                <c:pt idx="0">
                  <c:v>DJFMAM*</c:v>
                </c:pt>
              </c:strCache>
            </c:strRef>
          </c:tx>
          <c:marker>
            <c:symbol val="none"/>
          </c:marker>
          <c:trendline>
            <c:spPr>
              <a:ln w="19050">
                <a:solidFill>
                  <a:schemeClr val="bg1">
                    <a:lumMod val="65000"/>
                  </a:schemeClr>
                </a:solidFill>
                <a:prstDash val="sysDot"/>
              </a:ln>
            </c:spPr>
            <c:trendlineType val="linear"/>
            <c:dispRSqr val="0"/>
            <c:dispEq val="0"/>
          </c:trendline>
          <c:val>
            <c:numRef>
              <c:f>Tmp_Bariloche!$T$32:$T$122</c:f>
              <c:numCache>
                <c:formatCode>0.00</c:formatCode>
                <c:ptCount val="91"/>
                <c:pt idx="0">
                  <c:v>11.183333333333332</c:v>
                </c:pt>
                <c:pt idx="1">
                  <c:v>10.3371</c:v>
                </c:pt>
                <c:pt idx="2">
                  <c:v>10.040866666666668</c:v>
                </c:pt>
                <c:pt idx="3">
                  <c:v>11.661299999999997</c:v>
                </c:pt>
                <c:pt idx="4">
                  <c:v>10.415066666666666</c:v>
                </c:pt>
                <c:pt idx="5">
                  <c:v>10.035499999999999</c:v>
                </c:pt>
                <c:pt idx="6">
                  <c:v>10.022599999999999</c:v>
                </c:pt>
                <c:pt idx="7">
                  <c:v>10.093033333333334</c:v>
                </c:pt>
                <c:pt idx="8">
                  <c:v>10.9968</c:v>
                </c:pt>
                <c:pt idx="9">
                  <c:v>10.367233333333333</c:v>
                </c:pt>
                <c:pt idx="10">
                  <c:v>9.8876666666666679</c:v>
                </c:pt>
                <c:pt idx="11">
                  <c:v>11.6081</c:v>
                </c:pt>
                <c:pt idx="12">
                  <c:v>12.411866666666668</c:v>
                </c:pt>
                <c:pt idx="13">
                  <c:v>12.0823</c:v>
                </c:pt>
                <c:pt idx="14">
                  <c:v>10.136066666666668</c:v>
                </c:pt>
                <c:pt idx="15">
                  <c:v>10.189833333333333</c:v>
                </c:pt>
                <c:pt idx="16">
                  <c:v>10.310266666666667</c:v>
                </c:pt>
                <c:pt idx="17">
                  <c:v>10.330699999999998</c:v>
                </c:pt>
                <c:pt idx="18">
                  <c:v>10.684466666666665</c:v>
                </c:pt>
                <c:pt idx="19">
                  <c:v>10.088233333333333</c:v>
                </c:pt>
                <c:pt idx="20">
                  <c:v>11.441999999999997</c:v>
                </c:pt>
                <c:pt idx="21">
                  <c:v>11.745766666666666</c:v>
                </c:pt>
                <c:pt idx="22">
                  <c:v>11.082866666666668</c:v>
                </c:pt>
                <c:pt idx="23">
                  <c:v>10.403300000000002</c:v>
                </c:pt>
                <c:pt idx="24">
                  <c:v>8.9903999999999993</c:v>
                </c:pt>
                <c:pt idx="25">
                  <c:v>11.860833333333332</c:v>
                </c:pt>
                <c:pt idx="26">
                  <c:v>10.481266666666665</c:v>
                </c:pt>
                <c:pt idx="27">
                  <c:v>10.735033333333334</c:v>
                </c:pt>
                <c:pt idx="28">
                  <c:v>11.622133333333332</c:v>
                </c:pt>
                <c:pt idx="29">
                  <c:v>10.175899999999999</c:v>
                </c:pt>
                <c:pt idx="30">
                  <c:v>11.446333333333333</c:v>
                </c:pt>
                <c:pt idx="31">
                  <c:v>11.283433333333331</c:v>
                </c:pt>
                <c:pt idx="32">
                  <c:v>10.070533333333332</c:v>
                </c:pt>
                <c:pt idx="33">
                  <c:v>10.124299999999998</c:v>
                </c:pt>
                <c:pt idx="34">
                  <c:v>10.3614</c:v>
                </c:pt>
                <c:pt idx="35">
                  <c:v>10.065166666666668</c:v>
                </c:pt>
                <c:pt idx="36">
                  <c:v>10.985600000000002</c:v>
                </c:pt>
                <c:pt idx="37">
                  <c:v>10.389366666666668</c:v>
                </c:pt>
                <c:pt idx="38">
                  <c:v>11.259800000000002</c:v>
                </c:pt>
                <c:pt idx="39">
                  <c:v>8.8468999999999998</c:v>
                </c:pt>
                <c:pt idx="40">
                  <c:v>9.7173333333333343</c:v>
                </c:pt>
                <c:pt idx="41">
                  <c:v>10.571099999999999</c:v>
                </c:pt>
                <c:pt idx="42">
                  <c:v>10.024866666666668</c:v>
                </c:pt>
                <c:pt idx="43">
                  <c:v>10.528633333333334</c:v>
                </c:pt>
                <c:pt idx="44">
                  <c:v>9.4157333333333337</c:v>
                </c:pt>
                <c:pt idx="45">
                  <c:v>10.586166666666665</c:v>
                </c:pt>
                <c:pt idx="46">
                  <c:v>11.389933333333332</c:v>
                </c:pt>
                <c:pt idx="47">
                  <c:v>11.760366666666668</c:v>
                </c:pt>
                <c:pt idx="48">
                  <c:v>10.597466666666667</c:v>
                </c:pt>
                <c:pt idx="49">
                  <c:v>10.784566666666667</c:v>
                </c:pt>
                <c:pt idx="50">
                  <c:v>11.071666666666667</c:v>
                </c:pt>
                <c:pt idx="51">
                  <c:v>10.808766666666667</c:v>
                </c:pt>
                <c:pt idx="52">
                  <c:v>10.279199999999998</c:v>
                </c:pt>
                <c:pt idx="53">
                  <c:v>9.9663000000000004</c:v>
                </c:pt>
                <c:pt idx="54">
                  <c:v>10.5534</c:v>
                </c:pt>
                <c:pt idx="55">
                  <c:v>11.1905</c:v>
                </c:pt>
                <c:pt idx="56">
                  <c:v>10.694266666666666</c:v>
                </c:pt>
                <c:pt idx="57">
                  <c:v>10.481366666666666</c:v>
                </c:pt>
                <c:pt idx="58">
                  <c:v>10.568466666666668</c:v>
                </c:pt>
                <c:pt idx="59">
                  <c:v>10.505566666666665</c:v>
                </c:pt>
                <c:pt idx="60">
                  <c:v>9.9593333333333334</c:v>
                </c:pt>
                <c:pt idx="61">
                  <c:v>10.296433333333335</c:v>
                </c:pt>
                <c:pt idx="62">
                  <c:v>10.850199999999999</c:v>
                </c:pt>
                <c:pt idx="63">
                  <c:v>9.9872999999999994</c:v>
                </c:pt>
                <c:pt idx="64">
                  <c:v>11.007733333333334</c:v>
                </c:pt>
                <c:pt idx="65">
                  <c:v>10.561500000000001</c:v>
                </c:pt>
                <c:pt idx="66">
                  <c:v>10.431933333333332</c:v>
                </c:pt>
                <c:pt idx="67">
                  <c:v>10.8857</c:v>
                </c:pt>
                <c:pt idx="68">
                  <c:v>10.139466666666666</c:v>
                </c:pt>
                <c:pt idx="69">
                  <c:v>9.5932333333333322</c:v>
                </c:pt>
                <c:pt idx="70">
                  <c:v>10.946999999999999</c:v>
                </c:pt>
                <c:pt idx="71">
                  <c:v>10.400766666666668</c:v>
                </c:pt>
                <c:pt idx="72">
                  <c:v>10.354533333333332</c:v>
                </c:pt>
                <c:pt idx="73">
                  <c:v>10.241633333333336</c:v>
                </c:pt>
                <c:pt idx="74">
                  <c:v>10.495400000000002</c:v>
                </c:pt>
                <c:pt idx="75">
                  <c:v>9.5325000000000024</c:v>
                </c:pt>
                <c:pt idx="76">
                  <c:v>11.269600000000001</c:v>
                </c:pt>
                <c:pt idx="77">
                  <c:v>11.390033333333333</c:v>
                </c:pt>
                <c:pt idx="78">
                  <c:v>9.8437999999999999</c:v>
                </c:pt>
                <c:pt idx="79">
                  <c:v>10.380899999999999</c:v>
                </c:pt>
                <c:pt idx="80">
                  <c:v>11.168000000000001</c:v>
                </c:pt>
                <c:pt idx="81">
                  <c:v>10.688433333333332</c:v>
                </c:pt>
                <c:pt idx="82">
                  <c:v>10.575533333333331</c:v>
                </c:pt>
                <c:pt idx="83">
                  <c:v>11.295966666666667</c:v>
                </c:pt>
                <c:pt idx="84">
                  <c:v>11.133066666666668</c:v>
                </c:pt>
                <c:pt idx="85">
                  <c:v>10.903499999999999</c:v>
                </c:pt>
                <c:pt idx="86">
                  <c:v>10.640599999999999</c:v>
                </c:pt>
                <c:pt idx="87">
                  <c:v>10.711033333333329</c:v>
                </c:pt>
                <c:pt idx="88">
                  <c:v>11.131466666666666</c:v>
                </c:pt>
                <c:pt idx="89">
                  <c:v>11.635233333333332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3E5-4390-923D-BFC5B2860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7988543"/>
        <c:axId val="845080479"/>
      </c:lineChart>
      <c:catAx>
        <c:axId val="717988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45080479"/>
        <c:crosses val="autoZero"/>
        <c:auto val="1"/>
        <c:lblAlgn val="ctr"/>
        <c:lblOffset val="100"/>
        <c:noMultiLvlLbl val="0"/>
      </c:catAx>
      <c:valAx>
        <c:axId val="84508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7988543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0</xdr:colOff>
      <xdr:row>36</xdr:row>
      <xdr:rowOff>54429</xdr:rowOff>
    </xdr:from>
    <xdr:to>
      <xdr:col>30</xdr:col>
      <xdr:colOff>179070</xdr:colOff>
      <xdr:row>60</xdr:row>
      <xdr:rowOff>27759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1095B5C-3E3D-4FB6-8B74-BDB6781B4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26214" y="6912429"/>
          <a:ext cx="6276975" cy="4543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19322</xdr:colOff>
      <xdr:row>129</xdr:row>
      <xdr:rowOff>106272</xdr:rowOff>
    </xdr:from>
    <xdr:to>
      <xdr:col>19</xdr:col>
      <xdr:colOff>200297</xdr:colOff>
      <xdr:row>144</xdr:row>
      <xdr:rowOff>84500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69C6D1E-B4BB-C511-94C0-3046FCA4C5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36</xdr:row>
      <xdr:rowOff>54429</xdr:rowOff>
    </xdr:from>
    <xdr:to>
      <xdr:col>25</xdr:col>
      <xdr:colOff>180974</xdr:colOff>
      <xdr:row>60</xdr:row>
      <xdr:rowOff>25854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DD9CFDC5-B426-4C07-AA66-6EDEE2F57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51375" y="6912429"/>
          <a:ext cx="6276975" cy="4543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36</xdr:row>
      <xdr:rowOff>54429</xdr:rowOff>
    </xdr:from>
    <xdr:to>
      <xdr:col>25</xdr:col>
      <xdr:colOff>180974</xdr:colOff>
      <xdr:row>60</xdr:row>
      <xdr:rowOff>25854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6AED958A-CAB8-4339-905D-069C8C6F5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51375" y="6912429"/>
          <a:ext cx="6276975" cy="4543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36</xdr:row>
      <xdr:rowOff>54429</xdr:rowOff>
    </xdr:from>
    <xdr:to>
      <xdr:col>25</xdr:col>
      <xdr:colOff>182878</xdr:colOff>
      <xdr:row>60</xdr:row>
      <xdr:rowOff>27759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9349889-03BC-4277-A63A-ED7084D3F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51375" y="6912429"/>
          <a:ext cx="6276975" cy="4543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36</xdr:row>
      <xdr:rowOff>54429</xdr:rowOff>
    </xdr:from>
    <xdr:to>
      <xdr:col>25</xdr:col>
      <xdr:colOff>180974</xdr:colOff>
      <xdr:row>60</xdr:row>
      <xdr:rowOff>25854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F612C1BB-D287-4BE3-ADAF-313F0BE4A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51375" y="6912429"/>
          <a:ext cx="6276975" cy="4543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36</xdr:row>
      <xdr:rowOff>54429</xdr:rowOff>
    </xdr:from>
    <xdr:to>
      <xdr:col>25</xdr:col>
      <xdr:colOff>180974</xdr:colOff>
      <xdr:row>60</xdr:row>
      <xdr:rowOff>25854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7A3C8F2F-40DA-404E-A791-E042EF80C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51375" y="6912429"/>
          <a:ext cx="6276975" cy="4543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36</xdr:row>
      <xdr:rowOff>54429</xdr:rowOff>
    </xdr:from>
    <xdr:to>
      <xdr:col>25</xdr:col>
      <xdr:colOff>180974</xdr:colOff>
      <xdr:row>60</xdr:row>
      <xdr:rowOff>25854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477A989-B39B-4ABD-B3B0-E1181190C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51375" y="6912429"/>
          <a:ext cx="6276975" cy="4543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36</xdr:row>
      <xdr:rowOff>54429</xdr:rowOff>
    </xdr:from>
    <xdr:to>
      <xdr:col>25</xdr:col>
      <xdr:colOff>180974</xdr:colOff>
      <xdr:row>60</xdr:row>
      <xdr:rowOff>25854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C0EE4C45-6C4C-409A-8352-EFF21BC30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51375" y="6912429"/>
          <a:ext cx="6276975" cy="4543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36</xdr:row>
      <xdr:rowOff>54429</xdr:rowOff>
    </xdr:from>
    <xdr:to>
      <xdr:col>25</xdr:col>
      <xdr:colOff>180974</xdr:colOff>
      <xdr:row>60</xdr:row>
      <xdr:rowOff>25854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A4E5265A-3645-47BB-9DFB-A404313F5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51375" y="6912429"/>
          <a:ext cx="6276975" cy="4543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0B39E-849F-45A0-9597-342FBAA59F6A}">
  <sheetPr codeName="Hoja2"/>
  <dimension ref="A1:K11"/>
  <sheetViews>
    <sheetView workbookViewId="0"/>
  </sheetViews>
  <sheetFormatPr defaultColWidth="11" defaultRowHeight="15" x14ac:dyDescent="0.25"/>
  <sheetData>
    <row r="1" spans="1:11" x14ac:dyDescent="0.25">
      <c r="A1" s="5"/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6" t="s">
        <v>26</v>
      </c>
    </row>
    <row r="2" spans="1:11" x14ac:dyDescent="0.25">
      <c r="A2" s="7" t="s">
        <v>17</v>
      </c>
      <c r="B2" s="9">
        <v>1</v>
      </c>
      <c r="C2" s="9">
        <v>0.41087372444949849</v>
      </c>
      <c r="D2" s="9">
        <v>0.45392853634274044</v>
      </c>
      <c r="E2" s="9">
        <v>0.4610284256357059</v>
      </c>
      <c r="F2" s="9">
        <v>2.4010575511836493E-2</v>
      </c>
      <c r="G2" s="9">
        <v>1.6321993343228126E-2</v>
      </c>
      <c r="H2" s="9">
        <v>2.4917158075044653E-2</v>
      </c>
      <c r="I2" s="9">
        <v>0.42272225242266082</v>
      </c>
      <c r="J2" s="9">
        <v>0.4390620590817168</v>
      </c>
      <c r="K2" s="9">
        <v>0.41632938967403077</v>
      </c>
    </row>
    <row r="3" spans="1:11" x14ac:dyDescent="0.25">
      <c r="A3" t="s">
        <v>18</v>
      </c>
      <c r="B3" s="4">
        <v>0.41087372444949849</v>
      </c>
      <c r="C3" s="4">
        <v>1</v>
      </c>
      <c r="D3" s="4">
        <v>0.93969380325135299</v>
      </c>
      <c r="E3" s="4">
        <v>0.93816070134032314</v>
      </c>
      <c r="F3" s="4">
        <v>0.56734380114426164</v>
      </c>
      <c r="G3" s="4">
        <v>0.5679149022391885</v>
      </c>
      <c r="H3" s="4">
        <v>0.57154471880415181</v>
      </c>
      <c r="I3" s="4">
        <v>0.34001940994310836</v>
      </c>
      <c r="J3" s="4">
        <v>0.27076885905833853</v>
      </c>
      <c r="K3" s="4">
        <v>0.26872888141953827</v>
      </c>
    </row>
    <row r="4" spans="1:11" x14ac:dyDescent="0.25">
      <c r="A4" t="s">
        <v>19</v>
      </c>
      <c r="B4" s="4">
        <v>0.45392853634274044</v>
      </c>
      <c r="C4" s="4">
        <v>0.93969380325135299</v>
      </c>
      <c r="D4" s="4">
        <v>1</v>
      </c>
      <c r="E4" s="4">
        <v>0.99108654378372552</v>
      </c>
      <c r="F4" s="4">
        <v>0.54290892508277488</v>
      </c>
      <c r="G4" s="4">
        <v>0.57241721476590834</v>
      </c>
      <c r="H4" s="4">
        <v>0.56483950536209804</v>
      </c>
      <c r="I4" s="4">
        <v>0.34042302588748979</v>
      </c>
      <c r="J4" s="4">
        <v>0.30811539589088327</v>
      </c>
      <c r="K4" s="4">
        <v>0.30564092680497273</v>
      </c>
    </row>
    <row r="5" spans="1:11" x14ac:dyDescent="0.25">
      <c r="A5" t="s">
        <v>20</v>
      </c>
      <c r="B5" s="4">
        <v>0.4610284256357059</v>
      </c>
      <c r="C5" s="4">
        <v>0.93816070134032314</v>
      </c>
      <c r="D5" s="4">
        <v>0.99108654378372552</v>
      </c>
      <c r="E5" s="4">
        <v>1</v>
      </c>
      <c r="F5" s="4">
        <v>0.53101162865520402</v>
      </c>
      <c r="G5" s="4">
        <v>0.56025429614193056</v>
      </c>
      <c r="H5" s="4">
        <v>0.5527225861158156</v>
      </c>
      <c r="I5" s="4">
        <v>0.34108657193133812</v>
      </c>
      <c r="J5" s="4">
        <v>0.31133870112971485</v>
      </c>
      <c r="K5" s="4">
        <v>0.30970708443283668</v>
      </c>
    </row>
    <row r="6" spans="1:11" x14ac:dyDescent="0.25">
      <c r="A6" t="s">
        <v>21</v>
      </c>
      <c r="B6" s="4">
        <v>2.4010575511836493E-2</v>
      </c>
      <c r="C6" s="4">
        <v>0.56734380114426164</v>
      </c>
      <c r="D6" s="4">
        <v>0.54290892508277488</v>
      </c>
      <c r="E6" s="4">
        <v>0.53101162865520402</v>
      </c>
      <c r="F6" s="4">
        <v>1</v>
      </c>
      <c r="G6" s="4">
        <v>0.94529323562850032</v>
      </c>
      <c r="H6" s="4">
        <v>0.95668756342381578</v>
      </c>
      <c r="I6" s="4">
        <v>0.45618403170987154</v>
      </c>
      <c r="J6" s="4">
        <v>0.47902343594403313</v>
      </c>
      <c r="K6" s="4">
        <v>0.49043332932729972</v>
      </c>
    </row>
    <row r="7" spans="1:11" x14ac:dyDescent="0.25">
      <c r="A7" t="s">
        <v>22</v>
      </c>
      <c r="B7" s="4">
        <v>1.6321993343228126E-2</v>
      </c>
      <c r="C7" s="4">
        <v>0.5679149022391885</v>
      </c>
      <c r="D7" s="4">
        <v>0.57241721476590834</v>
      </c>
      <c r="E7" s="4">
        <v>0.56025429614193056</v>
      </c>
      <c r="F7" s="4">
        <v>0.94529323562850032</v>
      </c>
      <c r="G7" s="4">
        <v>1.0000000000000002</v>
      </c>
      <c r="H7" s="4">
        <v>0.98528987494998799</v>
      </c>
      <c r="I7" s="4">
        <v>0.43813146147186122</v>
      </c>
      <c r="J7" s="4">
        <v>0.5048830780443273</v>
      </c>
      <c r="K7" s="4">
        <v>0.50451374879177258</v>
      </c>
    </row>
    <row r="8" spans="1:11" x14ac:dyDescent="0.25">
      <c r="A8" t="s">
        <v>23</v>
      </c>
      <c r="B8" s="4">
        <v>2.4917158075044653E-2</v>
      </c>
      <c r="C8" s="4">
        <v>0.57154471880415181</v>
      </c>
      <c r="D8" s="4">
        <v>0.56483950536209804</v>
      </c>
      <c r="E8" s="4">
        <v>0.5527225861158156</v>
      </c>
      <c r="F8" s="4">
        <v>0.95668756342381578</v>
      </c>
      <c r="G8" s="4">
        <v>0.98528987494998799</v>
      </c>
      <c r="H8" s="4">
        <v>1</v>
      </c>
      <c r="I8" s="4">
        <v>0.43276473556549289</v>
      </c>
      <c r="J8" s="4">
        <v>0.4930569394965702</v>
      </c>
      <c r="K8" s="4">
        <v>0.50076222452968688</v>
      </c>
    </row>
    <row r="9" spans="1:11" x14ac:dyDescent="0.25">
      <c r="A9" t="s">
        <v>24</v>
      </c>
      <c r="B9" s="4">
        <v>0.42272225242266082</v>
      </c>
      <c r="C9" s="4">
        <v>0.34001940994310836</v>
      </c>
      <c r="D9" s="4">
        <v>0.34042302588748979</v>
      </c>
      <c r="E9" s="4">
        <v>0.34108657193133812</v>
      </c>
      <c r="F9" s="4">
        <v>0.45618403170987154</v>
      </c>
      <c r="G9" s="4">
        <v>0.43813146147186122</v>
      </c>
      <c r="H9" s="4">
        <v>0.43276473556549289</v>
      </c>
      <c r="I9" s="4">
        <v>1</v>
      </c>
      <c r="J9" s="4">
        <v>0.93611457740502679</v>
      </c>
      <c r="K9" s="4">
        <v>0.93081379380053586</v>
      </c>
    </row>
    <row r="10" spans="1:11" x14ac:dyDescent="0.25">
      <c r="A10" t="s">
        <v>25</v>
      </c>
      <c r="B10" s="4">
        <v>0.4390620590817168</v>
      </c>
      <c r="C10" s="4">
        <v>0.27076885905833853</v>
      </c>
      <c r="D10" s="4">
        <v>0.30811539589088327</v>
      </c>
      <c r="E10" s="4">
        <v>0.31133870112971485</v>
      </c>
      <c r="F10" s="4">
        <v>0.47902343594403313</v>
      </c>
      <c r="G10" s="4">
        <v>0.5048830780443273</v>
      </c>
      <c r="H10" s="4">
        <v>0.4930569394965702</v>
      </c>
      <c r="I10" s="4">
        <v>0.93611457740502679</v>
      </c>
      <c r="J10" s="4">
        <v>1</v>
      </c>
      <c r="K10" s="4">
        <v>0.98585815594614545</v>
      </c>
    </row>
    <row r="11" spans="1:11" ht="15.75" thickBot="1" x14ac:dyDescent="0.3">
      <c r="A11" s="8" t="s">
        <v>26</v>
      </c>
      <c r="B11" s="10">
        <v>0.41632938967403077</v>
      </c>
      <c r="C11" s="10">
        <v>0.26872888141953827</v>
      </c>
      <c r="D11" s="10">
        <v>0.30564092680497273</v>
      </c>
      <c r="E11" s="10">
        <v>0.30970708443283668</v>
      </c>
      <c r="F11" s="10">
        <v>0.49043332932729972</v>
      </c>
      <c r="G11" s="10">
        <v>0.50451374879177258</v>
      </c>
      <c r="H11" s="10">
        <v>0.50076222452968688</v>
      </c>
      <c r="I11" s="10">
        <v>0.93081379380053586</v>
      </c>
      <c r="J11" s="10">
        <v>0.98585815594614545</v>
      </c>
      <c r="K11" s="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F4B66-82CF-4D93-B067-0446E3020ADE}">
  <sheetPr codeName="Hoja21"/>
  <dimension ref="A1:K11"/>
  <sheetViews>
    <sheetView workbookViewId="0"/>
  </sheetViews>
  <sheetFormatPr defaultColWidth="11" defaultRowHeight="15" x14ac:dyDescent="0.25"/>
  <sheetData>
    <row r="1" spans="1:11" x14ac:dyDescent="0.25">
      <c r="A1" s="5"/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6" t="s">
        <v>26</v>
      </c>
    </row>
    <row r="2" spans="1:11" x14ac:dyDescent="0.25">
      <c r="A2" s="7" t="s">
        <v>17</v>
      </c>
      <c r="B2" s="9">
        <v>1</v>
      </c>
      <c r="C2" s="9">
        <v>0.40873417065304607</v>
      </c>
      <c r="D2" s="9">
        <v>0.44709074516727015</v>
      </c>
      <c r="E2" s="9">
        <v>0.45363346555474038</v>
      </c>
      <c r="F2" s="9">
        <v>2.5772355594627549E-2</v>
      </c>
      <c r="G2" s="9">
        <v>1.9773252781923E-2</v>
      </c>
      <c r="H2" s="9">
        <v>2.6886252868093603E-2</v>
      </c>
      <c r="I2" s="9">
        <v>0.45736567718406068</v>
      </c>
      <c r="J2" s="9">
        <v>0.45033193941253113</v>
      </c>
      <c r="K2" s="9">
        <v>0.43444671955795727</v>
      </c>
    </row>
    <row r="3" spans="1:11" x14ac:dyDescent="0.25">
      <c r="A3" t="s">
        <v>18</v>
      </c>
      <c r="B3" s="4">
        <v>0.40873417065304607</v>
      </c>
      <c r="C3" s="4">
        <v>1</v>
      </c>
      <c r="D3" s="4">
        <v>0.94031794652408129</v>
      </c>
      <c r="E3" s="4">
        <v>0.94252549172921218</v>
      </c>
      <c r="F3" s="4">
        <v>0.56624201259768669</v>
      </c>
      <c r="G3" s="4">
        <v>0.560188633192511</v>
      </c>
      <c r="H3" s="4">
        <v>0.56664311833778502</v>
      </c>
      <c r="I3" s="4">
        <v>0.39653227947622788</v>
      </c>
      <c r="J3" s="4">
        <v>0.33630232123619497</v>
      </c>
      <c r="K3" s="4">
        <v>0.33203365494386228</v>
      </c>
    </row>
    <row r="4" spans="1:11" x14ac:dyDescent="0.25">
      <c r="A4" t="s">
        <v>19</v>
      </c>
      <c r="B4" s="4">
        <v>0.44709074516727015</v>
      </c>
      <c r="C4" s="4">
        <v>0.94031794652408129</v>
      </c>
      <c r="D4" s="4">
        <v>1</v>
      </c>
      <c r="E4" s="4">
        <v>0.99025111032743451</v>
      </c>
      <c r="F4" s="4">
        <v>0.53701157700536195</v>
      </c>
      <c r="G4" s="4">
        <v>0.56482825758718869</v>
      </c>
      <c r="H4" s="4">
        <v>0.56196660556938371</v>
      </c>
      <c r="I4" s="4">
        <v>0.39359826712035162</v>
      </c>
      <c r="J4" s="4">
        <v>0.37060788055844435</v>
      </c>
      <c r="K4" s="4">
        <v>0.36480504156232024</v>
      </c>
    </row>
    <row r="5" spans="1:11" x14ac:dyDescent="0.25">
      <c r="A5" t="s">
        <v>20</v>
      </c>
      <c r="B5" s="4">
        <v>0.45363346555474038</v>
      </c>
      <c r="C5" s="4">
        <v>0.94252549172921218</v>
      </c>
      <c r="D5" s="4">
        <v>0.99025111032743451</v>
      </c>
      <c r="E5" s="4">
        <v>1</v>
      </c>
      <c r="F5" s="4">
        <v>0.52622248642342262</v>
      </c>
      <c r="G5" s="4">
        <v>0.5520755442971923</v>
      </c>
      <c r="H5" s="4">
        <v>0.5520282765878296</v>
      </c>
      <c r="I5" s="4">
        <v>0.40139650951438921</v>
      </c>
      <c r="J5" s="4">
        <v>0.37526199927423065</v>
      </c>
      <c r="K5" s="4">
        <v>0.37192328819774251</v>
      </c>
    </row>
    <row r="6" spans="1:11" x14ac:dyDescent="0.25">
      <c r="A6" t="s">
        <v>21</v>
      </c>
      <c r="B6" s="4">
        <v>2.5772355594627549E-2</v>
      </c>
      <c r="C6" s="4">
        <v>0.56624201259768669</v>
      </c>
      <c r="D6" s="4">
        <v>0.53701157700536195</v>
      </c>
      <c r="E6" s="4">
        <v>0.52622248642342262</v>
      </c>
      <c r="F6" s="4">
        <v>1</v>
      </c>
      <c r="G6" s="4">
        <v>0.95134876210355168</v>
      </c>
      <c r="H6" s="4">
        <v>0.95848140710746332</v>
      </c>
      <c r="I6" s="4">
        <v>0.45313122743432782</v>
      </c>
      <c r="J6" s="4">
        <v>0.47947804593026422</v>
      </c>
      <c r="K6" s="4">
        <v>0.49062188090003467</v>
      </c>
    </row>
    <row r="7" spans="1:11" x14ac:dyDescent="0.25">
      <c r="A7" t="s">
        <v>22</v>
      </c>
      <c r="B7" s="4">
        <v>1.9773252781923E-2</v>
      </c>
      <c r="C7" s="4">
        <v>0.560188633192511</v>
      </c>
      <c r="D7" s="4">
        <v>0.56482825758718869</v>
      </c>
      <c r="E7" s="4">
        <v>0.5520755442971923</v>
      </c>
      <c r="F7" s="4">
        <v>0.95134876210355168</v>
      </c>
      <c r="G7" s="4">
        <v>1</v>
      </c>
      <c r="H7" s="4">
        <v>0.98840783628130413</v>
      </c>
      <c r="I7" s="4">
        <v>0.43531685160281514</v>
      </c>
      <c r="J7" s="4">
        <v>0.50650366677435965</v>
      </c>
      <c r="K7" s="4">
        <v>0.5099839707256123</v>
      </c>
    </row>
    <row r="8" spans="1:11" x14ac:dyDescent="0.25">
      <c r="A8" t="s">
        <v>23</v>
      </c>
      <c r="B8" s="4">
        <v>2.6886252868093603E-2</v>
      </c>
      <c r="C8" s="4">
        <v>0.56664311833778502</v>
      </c>
      <c r="D8" s="4">
        <v>0.56196660556938371</v>
      </c>
      <c r="E8" s="4">
        <v>0.5520282765878296</v>
      </c>
      <c r="F8" s="4">
        <v>0.95848140710746332</v>
      </c>
      <c r="G8" s="4">
        <v>0.98840783628130413</v>
      </c>
      <c r="H8" s="4">
        <v>1</v>
      </c>
      <c r="I8" s="4">
        <v>0.42797686350239694</v>
      </c>
      <c r="J8" s="4">
        <v>0.49781361762999954</v>
      </c>
      <c r="K8" s="4">
        <v>0.50783605621890326</v>
      </c>
    </row>
    <row r="9" spans="1:11" x14ac:dyDescent="0.25">
      <c r="A9" t="s">
        <v>24</v>
      </c>
      <c r="B9" s="4">
        <v>0.45736567718406068</v>
      </c>
      <c r="C9" s="4">
        <v>0.39653227947622788</v>
      </c>
      <c r="D9" s="4">
        <v>0.39359826712035162</v>
      </c>
      <c r="E9" s="4">
        <v>0.40139650951438921</v>
      </c>
      <c r="F9" s="4">
        <v>0.45313122743432782</v>
      </c>
      <c r="G9" s="4">
        <v>0.43531685160281514</v>
      </c>
      <c r="H9" s="4">
        <v>0.42797686350239694</v>
      </c>
      <c r="I9" s="4">
        <v>1</v>
      </c>
      <c r="J9" s="4">
        <v>0.93860891454028095</v>
      </c>
      <c r="K9" s="4">
        <v>0.93695435990014697</v>
      </c>
    </row>
    <row r="10" spans="1:11" x14ac:dyDescent="0.25">
      <c r="A10" t="s">
        <v>25</v>
      </c>
      <c r="B10" s="4">
        <v>0.45033193941253113</v>
      </c>
      <c r="C10" s="4">
        <v>0.33630232123619497</v>
      </c>
      <c r="D10" s="4">
        <v>0.37060788055844435</v>
      </c>
      <c r="E10" s="4">
        <v>0.37526199927423065</v>
      </c>
      <c r="F10" s="4">
        <v>0.47947804593026422</v>
      </c>
      <c r="G10" s="4">
        <v>0.50650366677435965</v>
      </c>
      <c r="H10" s="4">
        <v>0.49781361762999954</v>
      </c>
      <c r="I10" s="4">
        <v>0.93860891454028095</v>
      </c>
      <c r="J10" s="4">
        <v>1</v>
      </c>
      <c r="K10" s="4">
        <v>0.98708856517322174</v>
      </c>
    </row>
    <row r="11" spans="1:11" ht="15.75" thickBot="1" x14ac:dyDescent="0.3">
      <c r="A11" s="8" t="s">
        <v>26</v>
      </c>
      <c r="B11" s="10">
        <v>0.43444671955795727</v>
      </c>
      <c r="C11" s="10">
        <v>0.33203365494386228</v>
      </c>
      <c r="D11" s="10">
        <v>0.36480504156232024</v>
      </c>
      <c r="E11" s="10">
        <v>0.37192328819774251</v>
      </c>
      <c r="F11" s="10">
        <v>0.49062188090003467</v>
      </c>
      <c r="G11" s="10">
        <v>0.5099839707256123</v>
      </c>
      <c r="H11" s="10">
        <v>0.50783605621890326</v>
      </c>
      <c r="I11" s="10">
        <v>0.93695435990014697</v>
      </c>
      <c r="J11" s="10">
        <v>0.98708856517322174</v>
      </c>
      <c r="K11" s="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84C1B-2255-44C9-825C-3ED6ED0A151A}">
  <sheetPr codeName="Hoja13"/>
  <dimension ref="A1:V129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1" defaultRowHeight="15" x14ac:dyDescent="0.25"/>
  <cols>
    <col min="2" max="4" width="5.5703125" bestFit="1" customWidth="1"/>
    <col min="5" max="5" width="4.42578125" bestFit="1" customWidth="1"/>
    <col min="6" max="6" width="4.7109375" bestFit="1" customWidth="1"/>
    <col min="7" max="7" width="5" bestFit="1" customWidth="1"/>
    <col min="8" max="8" width="5.140625" bestFit="1" customWidth="1"/>
    <col min="9" max="9" width="4.42578125" bestFit="1" customWidth="1"/>
    <col min="10" max="10" width="5" bestFit="1" customWidth="1"/>
    <col min="11" max="11" width="5.140625" bestFit="1" customWidth="1"/>
    <col min="12" max="13" width="5.5703125" bestFit="1" customWidth="1"/>
    <col min="14" max="17" width="12" bestFit="1" customWidth="1"/>
    <col min="18" max="18" width="6.5703125" style="14" bestFit="1" customWidth="1"/>
    <col min="19" max="19" width="8.140625" style="14" bestFit="1" customWidth="1"/>
    <col min="20" max="20" width="8.140625" style="14" customWidth="1"/>
    <col min="21" max="21" width="9.42578125" style="14" bestFit="1" customWidth="1"/>
  </cols>
  <sheetData>
    <row r="1" spans="1:21" x14ac:dyDescent="0.25">
      <c r="A1" s="1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13"/>
      <c r="S1" s="13"/>
      <c r="T1" s="13"/>
      <c r="U1" s="13"/>
    </row>
    <row r="2" spans="1:2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18" t="s">
        <v>36</v>
      </c>
      <c r="S2" s="18" t="s">
        <v>37</v>
      </c>
      <c r="T2" s="18" t="s">
        <v>43</v>
      </c>
      <c r="U2" s="18" t="s">
        <v>40</v>
      </c>
    </row>
    <row r="3" spans="1:21" x14ac:dyDescent="0.25">
      <c r="A3">
        <v>1902</v>
      </c>
      <c r="N3" s="11" t="str">
        <f>IF(AND(ISNUMBER(D3),ISNUMBER(E3),ISNUMBER(F3)),AVERAGE(D3:F3),"")</f>
        <v/>
      </c>
      <c r="O3" s="11" t="str">
        <f t="shared" ref="O3:O31" si="0">IF(AND(ISNUMBER(G3),ISNUMBER(H3),ISNUMBER(I3)),AVERAGE(G3:I3),"")</f>
        <v/>
      </c>
      <c r="P3" s="11" t="str">
        <f>IF(AND(ISNUMBER(J3),ISNUMBER(K3),ISNUMBER(L3)),AVERAGE(J3:L3),"")</f>
        <v/>
      </c>
      <c r="Q3" s="11" t="str">
        <f>IF(AND(ISNUMBER(M3),ISNUMBER(B4),ISNUMBER(C4)),AVERAGE(M3,B4:C4),"")</f>
        <v/>
      </c>
      <c r="R3" s="19" t="str">
        <f>IF(AND(ISNUMBER(M3),ISNUMBER(B4),ISNUMBER(C4),ISNUMBER(D4),ISNUMBER(E4)),AVERAGE(M3,B4:E4),"")</f>
        <v/>
      </c>
      <c r="S3" s="19"/>
      <c r="T3" s="19"/>
      <c r="U3" s="19"/>
    </row>
    <row r="4" spans="1:21" x14ac:dyDescent="0.25">
      <c r="A4">
        <v>1903</v>
      </c>
      <c r="N4" s="11" t="str">
        <f t="shared" ref="N4:N31" si="1">IF(AND(ISNUMBER(D4),ISNUMBER(E4),ISNUMBER(F4)),AVERAGE(D4:F4),"")</f>
        <v/>
      </c>
      <c r="O4" s="11" t="str">
        <f t="shared" si="0"/>
        <v/>
      </c>
      <c r="P4" s="11" t="str">
        <f t="shared" ref="P4:P31" si="2">IF(AND(ISNUMBER(J4),ISNUMBER(K4),ISNUMBER(L4)),AVERAGE(J4:L4),"")</f>
        <v/>
      </c>
      <c r="Q4" s="11" t="str">
        <f t="shared" ref="Q4:Q31" si="3">IF(AND(ISNUMBER(M4),ISNUMBER(B5),ISNUMBER(C5)),AVERAGE(M4,B5:C5),"")</f>
        <v/>
      </c>
      <c r="R4" s="19" t="str">
        <f t="shared" ref="R4:R67" si="4">IF(AND(ISNUMBER(M4),ISNUMBER(B5),ISNUMBER(C5),ISNUMBER(D5),ISNUMBER(E5)),AVERAGE(M4,B5:E5),"")</f>
        <v/>
      </c>
      <c r="S4" s="19"/>
      <c r="T4" s="19"/>
      <c r="U4" s="19"/>
    </row>
    <row r="5" spans="1:21" x14ac:dyDescent="0.25">
      <c r="A5">
        <v>1904</v>
      </c>
      <c r="N5" s="11" t="str">
        <f t="shared" si="1"/>
        <v/>
      </c>
      <c r="O5" s="11" t="str">
        <f t="shared" si="0"/>
        <v/>
      </c>
      <c r="P5" s="11" t="str">
        <f t="shared" si="2"/>
        <v/>
      </c>
      <c r="Q5" s="11" t="str">
        <f t="shared" si="3"/>
        <v/>
      </c>
      <c r="R5" s="19" t="str">
        <f t="shared" si="4"/>
        <v/>
      </c>
      <c r="S5" s="19"/>
      <c r="T5" s="19"/>
      <c r="U5" s="19"/>
    </row>
    <row r="6" spans="1:21" x14ac:dyDescent="0.25">
      <c r="A6">
        <v>1905</v>
      </c>
      <c r="N6" s="11" t="str">
        <f t="shared" si="1"/>
        <v/>
      </c>
      <c r="O6" s="11" t="str">
        <f t="shared" si="0"/>
        <v/>
      </c>
      <c r="P6" s="11" t="str">
        <f t="shared" si="2"/>
        <v/>
      </c>
      <c r="Q6" s="11" t="str">
        <f t="shared" si="3"/>
        <v/>
      </c>
      <c r="R6" s="19" t="str">
        <f t="shared" si="4"/>
        <v/>
      </c>
      <c r="S6" s="19"/>
      <c r="T6" s="19"/>
      <c r="U6" s="19"/>
    </row>
    <row r="7" spans="1:21" x14ac:dyDescent="0.25">
      <c r="A7">
        <v>1906</v>
      </c>
      <c r="N7" s="11" t="str">
        <f t="shared" si="1"/>
        <v/>
      </c>
      <c r="O7" s="11" t="str">
        <f t="shared" si="0"/>
        <v/>
      </c>
      <c r="P7" s="11" t="str">
        <f t="shared" si="2"/>
        <v/>
      </c>
      <c r="Q7" s="11" t="str">
        <f t="shared" si="3"/>
        <v/>
      </c>
      <c r="R7" s="19" t="str">
        <f t="shared" si="4"/>
        <v/>
      </c>
      <c r="S7" s="19"/>
      <c r="T7" s="19"/>
      <c r="U7" s="19"/>
    </row>
    <row r="8" spans="1:21" x14ac:dyDescent="0.25">
      <c r="A8">
        <v>1907</v>
      </c>
      <c r="N8" s="11" t="str">
        <f t="shared" si="1"/>
        <v/>
      </c>
      <c r="O8" s="11" t="str">
        <f t="shared" si="0"/>
        <v/>
      </c>
      <c r="P8" s="11" t="str">
        <f t="shared" si="2"/>
        <v/>
      </c>
      <c r="Q8" s="11" t="str">
        <f t="shared" si="3"/>
        <v/>
      </c>
      <c r="R8" s="19" t="str">
        <f t="shared" si="4"/>
        <v/>
      </c>
      <c r="S8" s="19"/>
      <c r="T8" s="19"/>
      <c r="U8" s="19"/>
    </row>
    <row r="9" spans="1:21" x14ac:dyDescent="0.25">
      <c r="A9">
        <v>1908</v>
      </c>
      <c r="N9" s="11" t="str">
        <f t="shared" si="1"/>
        <v/>
      </c>
      <c r="O9" s="11" t="str">
        <f t="shared" si="0"/>
        <v/>
      </c>
      <c r="P9" s="11" t="str">
        <f t="shared" si="2"/>
        <v/>
      </c>
      <c r="Q9" s="11" t="str">
        <f t="shared" si="3"/>
        <v/>
      </c>
      <c r="R9" s="19" t="str">
        <f t="shared" si="4"/>
        <v/>
      </c>
      <c r="S9" s="19"/>
      <c r="T9" s="19"/>
      <c r="U9" s="19"/>
    </row>
    <row r="10" spans="1:21" x14ac:dyDescent="0.25">
      <c r="A10">
        <v>1909</v>
      </c>
      <c r="N10" s="11" t="str">
        <f t="shared" si="1"/>
        <v/>
      </c>
      <c r="O10" s="11" t="str">
        <f t="shared" si="0"/>
        <v/>
      </c>
      <c r="P10" s="11" t="str">
        <f t="shared" si="2"/>
        <v/>
      </c>
      <c r="Q10" s="11" t="str">
        <f t="shared" si="3"/>
        <v/>
      </c>
      <c r="R10" s="19" t="str">
        <f t="shared" si="4"/>
        <v/>
      </c>
      <c r="S10" s="19"/>
      <c r="T10" s="19"/>
      <c r="U10" s="19"/>
    </row>
    <row r="11" spans="1:21" x14ac:dyDescent="0.25">
      <c r="A11">
        <v>1910</v>
      </c>
      <c r="N11" s="11" t="str">
        <f t="shared" si="1"/>
        <v/>
      </c>
      <c r="O11" s="11" t="str">
        <f t="shared" si="0"/>
        <v/>
      </c>
      <c r="P11" s="11" t="str">
        <f t="shared" si="2"/>
        <v/>
      </c>
      <c r="Q11" s="11" t="str">
        <f t="shared" si="3"/>
        <v/>
      </c>
      <c r="R11" s="19" t="str">
        <f t="shared" si="4"/>
        <v/>
      </c>
      <c r="S11" s="19"/>
      <c r="T11" s="19"/>
      <c r="U11" s="19"/>
    </row>
    <row r="12" spans="1:21" x14ac:dyDescent="0.25">
      <c r="A12">
        <v>1911</v>
      </c>
      <c r="N12" s="11" t="str">
        <f t="shared" si="1"/>
        <v/>
      </c>
      <c r="O12" s="11" t="str">
        <f t="shared" si="0"/>
        <v/>
      </c>
      <c r="P12" s="11" t="str">
        <f t="shared" si="2"/>
        <v/>
      </c>
      <c r="Q12" s="11" t="str">
        <f t="shared" si="3"/>
        <v/>
      </c>
      <c r="R12" s="19" t="str">
        <f t="shared" si="4"/>
        <v/>
      </c>
      <c r="S12" s="19"/>
      <c r="T12" s="19"/>
      <c r="U12" s="19"/>
    </row>
    <row r="13" spans="1:21" x14ac:dyDescent="0.25">
      <c r="A13">
        <v>1912</v>
      </c>
      <c r="N13" s="11" t="str">
        <f t="shared" si="1"/>
        <v/>
      </c>
      <c r="O13" s="11" t="str">
        <f t="shared" si="0"/>
        <v/>
      </c>
      <c r="P13" s="11" t="str">
        <f t="shared" si="2"/>
        <v/>
      </c>
      <c r="Q13" s="11" t="str">
        <f t="shared" si="3"/>
        <v/>
      </c>
      <c r="R13" s="19" t="str">
        <f t="shared" si="4"/>
        <v/>
      </c>
      <c r="S13" s="19"/>
      <c r="T13" s="19"/>
      <c r="U13" s="19"/>
    </row>
    <row r="14" spans="1:21" x14ac:dyDescent="0.25">
      <c r="A14">
        <v>1913</v>
      </c>
      <c r="N14" s="11" t="str">
        <f t="shared" si="1"/>
        <v/>
      </c>
      <c r="O14" s="11" t="str">
        <f t="shared" si="0"/>
        <v/>
      </c>
      <c r="P14" s="11" t="str">
        <f t="shared" si="2"/>
        <v/>
      </c>
      <c r="Q14" s="11" t="str">
        <f t="shared" si="3"/>
        <v/>
      </c>
      <c r="R14" s="19" t="str">
        <f t="shared" si="4"/>
        <v/>
      </c>
      <c r="S14" s="19"/>
      <c r="T14" s="19"/>
      <c r="U14" s="19"/>
    </row>
    <row r="15" spans="1:21" x14ac:dyDescent="0.25">
      <c r="A15">
        <v>1914</v>
      </c>
      <c r="N15" s="11" t="str">
        <f t="shared" si="1"/>
        <v/>
      </c>
      <c r="O15" s="11" t="str">
        <f t="shared" si="0"/>
        <v/>
      </c>
      <c r="P15" s="11" t="str">
        <f t="shared" si="2"/>
        <v/>
      </c>
      <c r="Q15" s="11" t="str">
        <f t="shared" si="3"/>
        <v/>
      </c>
      <c r="R15" s="19" t="str">
        <f t="shared" si="4"/>
        <v/>
      </c>
      <c r="S15" s="19"/>
      <c r="T15" s="19"/>
      <c r="U15" s="19"/>
    </row>
    <row r="16" spans="1:21" x14ac:dyDescent="0.25">
      <c r="A16">
        <v>1915</v>
      </c>
      <c r="N16" s="11" t="str">
        <f t="shared" si="1"/>
        <v/>
      </c>
      <c r="O16" s="11" t="str">
        <f t="shared" si="0"/>
        <v/>
      </c>
      <c r="P16" s="11" t="str">
        <f t="shared" si="2"/>
        <v/>
      </c>
      <c r="Q16" s="11" t="str">
        <f t="shared" si="3"/>
        <v/>
      </c>
      <c r="R16" s="19" t="str">
        <f t="shared" si="4"/>
        <v/>
      </c>
      <c r="S16" s="19"/>
      <c r="T16" s="19"/>
      <c r="U16" s="19"/>
    </row>
    <row r="17" spans="1:22" x14ac:dyDescent="0.25">
      <c r="A17">
        <v>1916</v>
      </c>
      <c r="N17" s="11" t="str">
        <f t="shared" si="1"/>
        <v/>
      </c>
      <c r="O17" s="11" t="str">
        <f t="shared" si="0"/>
        <v/>
      </c>
      <c r="P17" s="11" t="str">
        <f t="shared" si="2"/>
        <v/>
      </c>
      <c r="Q17" s="11" t="str">
        <f t="shared" si="3"/>
        <v/>
      </c>
      <c r="R17" s="19" t="str">
        <f t="shared" si="4"/>
        <v/>
      </c>
      <c r="S17" s="19"/>
      <c r="T17" s="19"/>
      <c r="U17" s="19"/>
    </row>
    <row r="18" spans="1:22" x14ac:dyDescent="0.25">
      <c r="A18">
        <v>1917</v>
      </c>
      <c r="N18" s="11" t="str">
        <f t="shared" si="1"/>
        <v/>
      </c>
      <c r="O18" s="11" t="str">
        <f t="shared" si="0"/>
        <v/>
      </c>
      <c r="P18" s="11" t="str">
        <f t="shared" si="2"/>
        <v/>
      </c>
      <c r="Q18" s="11" t="str">
        <f t="shared" si="3"/>
        <v/>
      </c>
      <c r="R18" s="19" t="str">
        <f t="shared" si="4"/>
        <v/>
      </c>
      <c r="S18" s="19"/>
      <c r="T18" s="19"/>
      <c r="U18" s="19"/>
    </row>
    <row r="19" spans="1:22" x14ac:dyDescent="0.25">
      <c r="A19">
        <v>1918</v>
      </c>
      <c r="N19" s="11" t="str">
        <f t="shared" si="1"/>
        <v/>
      </c>
      <c r="O19" s="11" t="str">
        <f t="shared" si="0"/>
        <v/>
      </c>
      <c r="P19" s="11" t="str">
        <f t="shared" si="2"/>
        <v/>
      </c>
      <c r="Q19" s="11" t="str">
        <f t="shared" si="3"/>
        <v/>
      </c>
      <c r="R19" s="19" t="str">
        <f t="shared" si="4"/>
        <v/>
      </c>
      <c r="S19" s="19"/>
      <c r="T19" s="19"/>
      <c r="U19" s="19"/>
    </row>
    <row r="20" spans="1:22" x14ac:dyDescent="0.25">
      <c r="A20">
        <v>1919</v>
      </c>
      <c r="N20" s="11" t="str">
        <f t="shared" si="1"/>
        <v/>
      </c>
      <c r="O20" s="11" t="str">
        <f t="shared" si="0"/>
        <v/>
      </c>
      <c r="P20" s="11" t="str">
        <f t="shared" si="2"/>
        <v/>
      </c>
      <c r="Q20" s="11" t="str">
        <f t="shared" si="3"/>
        <v/>
      </c>
      <c r="R20" s="19" t="str">
        <f t="shared" si="4"/>
        <v/>
      </c>
      <c r="S20" s="19"/>
      <c r="T20" s="19"/>
      <c r="U20" s="19"/>
    </row>
    <row r="21" spans="1:22" x14ac:dyDescent="0.25">
      <c r="A21">
        <v>1920</v>
      </c>
      <c r="N21" s="11" t="str">
        <f t="shared" si="1"/>
        <v/>
      </c>
      <c r="O21" s="11" t="str">
        <f t="shared" si="0"/>
        <v/>
      </c>
      <c r="P21" s="11" t="str">
        <f t="shared" si="2"/>
        <v/>
      </c>
      <c r="Q21" s="11" t="str">
        <f t="shared" si="3"/>
        <v/>
      </c>
      <c r="R21" s="19" t="str">
        <f t="shared" si="4"/>
        <v/>
      </c>
      <c r="S21" s="19"/>
      <c r="T21" s="19"/>
      <c r="U21" s="19"/>
    </row>
    <row r="22" spans="1:22" x14ac:dyDescent="0.25">
      <c r="A22">
        <v>1921</v>
      </c>
      <c r="N22" s="11" t="str">
        <f t="shared" si="1"/>
        <v/>
      </c>
      <c r="O22" s="11" t="str">
        <f t="shared" si="0"/>
        <v/>
      </c>
      <c r="P22" s="11" t="str">
        <f t="shared" si="2"/>
        <v/>
      </c>
      <c r="Q22" s="11" t="str">
        <f t="shared" si="3"/>
        <v/>
      </c>
      <c r="R22" s="19" t="str">
        <f t="shared" si="4"/>
        <v/>
      </c>
      <c r="S22" s="19"/>
      <c r="T22" s="19"/>
      <c r="U22" s="19"/>
    </row>
    <row r="23" spans="1:22" x14ac:dyDescent="0.25">
      <c r="A23">
        <v>1922</v>
      </c>
      <c r="N23" s="11" t="str">
        <f t="shared" si="1"/>
        <v/>
      </c>
      <c r="O23" s="11" t="str">
        <f t="shared" si="0"/>
        <v/>
      </c>
      <c r="P23" s="11" t="str">
        <f t="shared" si="2"/>
        <v/>
      </c>
      <c r="Q23" s="11" t="str">
        <f t="shared" si="3"/>
        <v/>
      </c>
      <c r="R23" s="19" t="str">
        <f t="shared" si="4"/>
        <v/>
      </c>
      <c r="S23" s="19"/>
      <c r="T23" s="19"/>
      <c r="U23" s="19"/>
    </row>
    <row r="24" spans="1:22" x14ac:dyDescent="0.25">
      <c r="A24">
        <v>1923</v>
      </c>
      <c r="N24" s="11" t="str">
        <f t="shared" si="1"/>
        <v/>
      </c>
      <c r="O24" s="11" t="str">
        <f t="shared" si="0"/>
        <v/>
      </c>
      <c r="P24" s="11" t="str">
        <f t="shared" si="2"/>
        <v/>
      </c>
      <c r="Q24" s="11" t="str">
        <f t="shared" si="3"/>
        <v/>
      </c>
      <c r="R24" s="19" t="str">
        <f t="shared" si="4"/>
        <v/>
      </c>
      <c r="S24" s="19"/>
      <c r="T24" s="19"/>
      <c r="U24" s="19"/>
    </row>
    <row r="25" spans="1:22" x14ac:dyDescent="0.25">
      <c r="A25">
        <v>1924</v>
      </c>
      <c r="N25" s="11" t="str">
        <f t="shared" si="1"/>
        <v/>
      </c>
      <c r="O25" s="11" t="str">
        <f t="shared" si="0"/>
        <v/>
      </c>
      <c r="P25" s="11" t="str">
        <f t="shared" si="2"/>
        <v/>
      </c>
      <c r="Q25" s="11" t="str">
        <f t="shared" si="3"/>
        <v/>
      </c>
      <c r="R25" s="19" t="str">
        <f t="shared" si="4"/>
        <v/>
      </c>
      <c r="S25" s="19"/>
      <c r="T25" s="19"/>
      <c r="U25" s="19"/>
    </row>
    <row r="26" spans="1:22" x14ac:dyDescent="0.25">
      <c r="A26">
        <v>1925</v>
      </c>
      <c r="N26" s="11" t="str">
        <f t="shared" si="1"/>
        <v/>
      </c>
      <c r="O26" s="11" t="str">
        <f t="shared" si="0"/>
        <v/>
      </c>
      <c r="P26" s="11" t="str">
        <f t="shared" si="2"/>
        <v/>
      </c>
      <c r="Q26" s="11" t="str">
        <f t="shared" si="3"/>
        <v/>
      </c>
      <c r="R26" s="19" t="str">
        <f t="shared" si="4"/>
        <v/>
      </c>
      <c r="S26" s="19"/>
      <c r="T26" s="19"/>
      <c r="U26" s="19"/>
    </row>
    <row r="27" spans="1:22" x14ac:dyDescent="0.25">
      <c r="A27">
        <v>1926</v>
      </c>
      <c r="N27" s="11" t="str">
        <f t="shared" si="1"/>
        <v/>
      </c>
      <c r="O27" s="11" t="str">
        <f t="shared" si="0"/>
        <v/>
      </c>
      <c r="P27" s="11" t="str">
        <f t="shared" si="2"/>
        <v/>
      </c>
      <c r="Q27" s="11" t="str">
        <f t="shared" si="3"/>
        <v/>
      </c>
      <c r="R27" s="19" t="str">
        <f t="shared" si="4"/>
        <v/>
      </c>
      <c r="S27" s="19"/>
      <c r="T27" s="19"/>
      <c r="U27" s="19"/>
    </row>
    <row r="28" spans="1:22" x14ac:dyDescent="0.25">
      <c r="A28">
        <v>1927</v>
      </c>
      <c r="N28" s="11" t="str">
        <f t="shared" si="1"/>
        <v/>
      </c>
      <c r="O28" s="11" t="str">
        <f t="shared" si="0"/>
        <v/>
      </c>
      <c r="P28" s="11" t="str">
        <f t="shared" si="2"/>
        <v/>
      </c>
      <c r="Q28" s="11" t="str">
        <f t="shared" si="3"/>
        <v/>
      </c>
      <c r="R28" s="19" t="str">
        <f t="shared" si="4"/>
        <v/>
      </c>
      <c r="S28" s="19"/>
      <c r="T28" s="19"/>
      <c r="U28" s="19"/>
    </row>
    <row r="29" spans="1:22" x14ac:dyDescent="0.25">
      <c r="A29">
        <v>1928</v>
      </c>
      <c r="N29" s="11" t="str">
        <f t="shared" si="1"/>
        <v/>
      </c>
      <c r="O29" s="11" t="str">
        <f t="shared" si="0"/>
        <v/>
      </c>
      <c r="P29" s="11" t="str">
        <f t="shared" si="2"/>
        <v/>
      </c>
      <c r="Q29" s="11" t="str">
        <f t="shared" si="3"/>
        <v/>
      </c>
      <c r="R29" s="19" t="str">
        <f t="shared" si="4"/>
        <v/>
      </c>
      <c r="S29" s="19"/>
      <c r="T29" s="19"/>
      <c r="U29" s="19"/>
    </row>
    <row r="30" spans="1:22" x14ac:dyDescent="0.25">
      <c r="A30">
        <v>1929</v>
      </c>
      <c r="N30" s="11" t="str">
        <f t="shared" si="1"/>
        <v/>
      </c>
      <c r="O30" s="11" t="str">
        <f t="shared" si="0"/>
        <v/>
      </c>
      <c r="P30" s="11" t="str">
        <f t="shared" si="2"/>
        <v/>
      </c>
      <c r="Q30" s="11" t="str">
        <f t="shared" si="3"/>
        <v/>
      </c>
      <c r="R30" s="19" t="str">
        <f t="shared" si="4"/>
        <v/>
      </c>
      <c r="S30" s="19"/>
      <c r="T30" s="19"/>
      <c r="U30" s="19"/>
    </row>
    <row r="31" spans="1:22" x14ac:dyDescent="0.25">
      <c r="A31">
        <v>1930</v>
      </c>
      <c r="N31" s="11" t="str">
        <f t="shared" si="1"/>
        <v/>
      </c>
      <c r="O31" s="11" t="str">
        <f t="shared" si="0"/>
        <v/>
      </c>
      <c r="P31" s="11" t="str">
        <f t="shared" si="2"/>
        <v/>
      </c>
      <c r="Q31" s="11" t="str">
        <f t="shared" si="3"/>
        <v/>
      </c>
      <c r="R31" s="19" t="str">
        <f t="shared" si="4"/>
        <v/>
      </c>
      <c r="S31" s="19"/>
      <c r="T31" s="19"/>
      <c r="U31" s="19"/>
    </row>
    <row r="32" spans="1:22" x14ac:dyDescent="0.25">
      <c r="A32">
        <v>1931</v>
      </c>
      <c r="B32">
        <v>13.7</v>
      </c>
      <c r="C32">
        <v>15</v>
      </c>
      <c r="D32">
        <v>11.9</v>
      </c>
      <c r="E32">
        <v>8.1999999999999993</v>
      </c>
      <c r="F32">
        <v>4.9000000000000004</v>
      </c>
      <c r="G32">
        <v>4.7</v>
      </c>
      <c r="H32">
        <v>1.4</v>
      </c>
      <c r="I32">
        <v>3.1</v>
      </c>
      <c r="J32">
        <v>5.2</v>
      </c>
      <c r="K32">
        <v>6.3</v>
      </c>
      <c r="L32">
        <v>9.3000000000000007</v>
      </c>
      <c r="M32">
        <v>12.9</v>
      </c>
      <c r="N32" s="11">
        <f>IF(AND(ISNUMBER(D32),ISNUMBER(E32),ISNUMBER(F32)),AVERAGE(D32:F32),"")</f>
        <v>8.3333333333333339</v>
      </c>
      <c r="O32" s="11">
        <f>IF(AND(ISNUMBER(G32),ISNUMBER(H32),ISNUMBER(I32)),AVERAGE(G32:I32),"")</f>
        <v>3.0666666666666664</v>
      </c>
      <c r="P32" s="11">
        <f>IF(AND(ISNUMBER(J32),ISNUMBER(K32),ISNUMBER(L32)),AVERAGE(J32:L32),"")</f>
        <v>6.9333333333333336</v>
      </c>
      <c r="Q32" s="11">
        <f>IF(AND(ISNUMBER(M32),ISNUMBER(B33),ISNUMBER(C33)),AVERAGE(M32,B33:C33),"")</f>
        <v>13.833333333333334</v>
      </c>
      <c r="R32" s="19">
        <f>IF(AND(ISNUMBER(M32),ISNUMBER(B33),ISNUMBER(C33),ISNUMBER(D33),ISNUMBER(E33)),AVERAGE(M32,B33:E33),"")</f>
        <v>12.319999999999999</v>
      </c>
      <c r="S32" s="19">
        <f>IF(AND(ISNUMBER(M32),ISNUMBER(B33),ISNUMBER(C33),ISNUMBER(D33),ISNUMBER(E33),ISNUMBER(F33)),AVERAGE(M32,B33:F33),"")</f>
        <v>11.183333333333332</v>
      </c>
      <c r="T32" s="19">
        <f>S32-(A32-1931)*0.0129</f>
        <v>11.183333333333332</v>
      </c>
      <c r="U32" s="19">
        <f>IF(AND(ISNUMBER(M32),ISNUMBER(B33),ISNUMBER(C33),ISNUMBER(D33),ISNUMBER(E33),ISNUMBER(F33),ISNUMBER(L32)),AVERAGE(L32:M32,B33:F33),"")</f>
        <v>10.914285714285713</v>
      </c>
      <c r="V32" s="12"/>
    </row>
    <row r="33" spans="1:21" x14ac:dyDescent="0.25">
      <c r="A33">
        <v>1932</v>
      </c>
      <c r="B33">
        <v>14.3</v>
      </c>
      <c r="C33">
        <v>14.3</v>
      </c>
      <c r="D33">
        <v>11.9</v>
      </c>
      <c r="E33">
        <v>8.1999999999999993</v>
      </c>
      <c r="F33">
        <v>5.5</v>
      </c>
      <c r="G33">
        <v>3.9</v>
      </c>
      <c r="H33">
        <v>3.4</v>
      </c>
      <c r="I33">
        <v>2.2999999999999998</v>
      </c>
      <c r="J33">
        <v>4.7</v>
      </c>
      <c r="K33">
        <v>8.1</v>
      </c>
      <c r="L33">
        <v>10.1</v>
      </c>
      <c r="M33">
        <v>12.2</v>
      </c>
      <c r="N33" s="11">
        <f t="shared" ref="N33:N96" si="5">IF(AND(ISNUMBER(D33),ISNUMBER(E33),ISNUMBER(F33)),AVERAGE(D33:F33),"")</f>
        <v>8.5333333333333332</v>
      </c>
      <c r="O33" s="11">
        <f t="shared" ref="O33:O96" si="6">IF(AND(ISNUMBER(G33),ISNUMBER(H33),ISNUMBER(I33)),AVERAGE(G33:I33),"")</f>
        <v>3.1999999999999997</v>
      </c>
      <c r="P33" s="11">
        <f t="shared" ref="P33:P96" si="7">IF(AND(ISNUMBER(J33),ISNUMBER(K33),ISNUMBER(L33)),AVERAGE(J33:L33),"")</f>
        <v>7.6333333333333329</v>
      </c>
      <c r="Q33" s="11">
        <f t="shared" ref="Q33:Q96" si="8">IF(AND(ISNUMBER(M33),ISNUMBER(B34),ISNUMBER(C34)),AVERAGE(M33,B34:C34),"")</f>
        <v>12.666666666666666</v>
      </c>
      <c r="R33" s="19">
        <f t="shared" si="4"/>
        <v>11.26</v>
      </c>
      <c r="S33" s="19">
        <f t="shared" ref="S33:S96" si="9">IF(AND(ISNUMBER(M33),ISNUMBER(B34),ISNUMBER(C34),ISNUMBER(D34),ISNUMBER(E34),ISNUMBER(F34)),AVERAGE(M33,B34:F34),"")</f>
        <v>10.35</v>
      </c>
      <c r="T33" s="19">
        <f t="shared" ref="T33:T96" si="10">S33-(A33-1931)*0.0129</f>
        <v>10.3371</v>
      </c>
      <c r="U33" s="19">
        <f t="shared" ref="U33:U96" si="11">IF(AND(ISNUMBER(M33),ISNUMBER(B34),ISNUMBER(C34),ISNUMBER(D34),ISNUMBER(E34),ISNUMBER(F34),ISNUMBER(L33)),AVERAGE(L33:M33,B34:F34),"")</f>
        <v>10.314285714285713</v>
      </c>
    </row>
    <row r="34" spans="1:21" x14ac:dyDescent="0.25">
      <c r="A34">
        <v>1933</v>
      </c>
      <c r="B34">
        <v>13.3</v>
      </c>
      <c r="C34">
        <v>12.5</v>
      </c>
      <c r="D34">
        <v>9.8000000000000007</v>
      </c>
      <c r="E34">
        <v>8.5</v>
      </c>
      <c r="F34">
        <v>5.8</v>
      </c>
      <c r="G34">
        <v>3.6</v>
      </c>
      <c r="H34">
        <v>1.1000000000000001</v>
      </c>
      <c r="I34">
        <v>4.4000000000000004</v>
      </c>
      <c r="J34">
        <v>5.0999999999999996</v>
      </c>
      <c r="K34">
        <v>7</v>
      </c>
      <c r="L34">
        <v>9.3000000000000007</v>
      </c>
      <c r="M34">
        <v>10.3</v>
      </c>
      <c r="N34" s="11">
        <f t="shared" si="5"/>
        <v>8.0333333333333332</v>
      </c>
      <c r="O34" s="11">
        <f t="shared" si="6"/>
        <v>3.0333333333333337</v>
      </c>
      <c r="P34" s="11">
        <f t="shared" si="7"/>
        <v>7.1333333333333329</v>
      </c>
      <c r="Q34" s="11">
        <f t="shared" si="8"/>
        <v>11.933333333333335</v>
      </c>
      <c r="R34" s="19">
        <f t="shared" si="4"/>
        <v>11.000000000000002</v>
      </c>
      <c r="S34" s="19">
        <f t="shared" si="9"/>
        <v>10.066666666666668</v>
      </c>
      <c r="T34" s="19">
        <f t="shared" si="10"/>
        <v>10.040866666666668</v>
      </c>
      <c r="U34" s="19">
        <f t="shared" si="11"/>
        <v>9.9571428571428591</v>
      </c>
    </row>
    <row r="35" spans="1:21" x14ac:dyDescent="0.25">
      <c r="A35">
        <v>1934</v>
      </c>
      <c r="B35">
        <v>13.4</v>
      </c>
      <c r="C35">
        <v>12.1</v>
      </c>
      <c r="D35">
        <v>10.8</v>
      </c>
      <c r="E35">
        <v>8.4</v>
      </c>
      <c r="F35">
        <v>5.4</v>
      </c>
      <c r="G35">
        <v>1.9</v>
      </c>
      <c r="H35">
        <v>2.9</v>
      </c>
      <c r="I35">
        <v>4.4000000000000004</v>
      </c>
      <c r="J35">
        <v>5.3</v>
      </c>
      <c r="K35">
        <v>7.2</v>
      </c>
      <c r="L35">
        <v>11</v>
      </c>
      <c r="M35">
        <v>12.9</v>
      </c>
      <c r="N35" s="11">
        <f t="shared" si="5"/>
        <v>8.2000000000000011</v>
      </c>
      <c r="O35" s="11">
        <f t="shared" si="6"/>
        <v>3.0666666666666664</v>
      </c>
      <c r="P35" s="11">
        <f t="shared" si="7"/>
        <v>7.833333333333333</v>
      </c>
      <c r="Q35" s="11">
        <f t="shared" si="8"/>
        <v>13.533333333333331</v>
      </c>
      <c r="R35" s="19">
        <f t="shared" si="4"/>
        <v>12.599999999999998</v>
      </c>
      <c r="S35" s="19">
        <f t="shared" si="9"/>
        <v>11.699999999999998</v>
      </c>
      <c r="T35" s="19">
        <f t="shared" si="10"/>
        <v>11.661299999999997</v>
      </c>
      <c r="U35" s="19">
        <f t="shared" si="11"/>
        <v>11.6</v>
      </c>
    </row>
    <row r="36" spans="1:21" x14ac:dyDescent="0.25">
      <c r="A36">
        <v>1935</v>
      </c>
      <c r="B36">
        <v>14.5</v>
      </c>
      <c r="C36">
        <v>13.2</v>
      </c>
      <c r="D36">
        <v>13</v>
      </c>
      <c r="E36">
        <v>9.4</v>
      </c>
      <c r="F36">
        <v>7.2</v>
      </c>
      <c r="G36">
        <v>3.8</v>
      </c>
      <c r="H36">
        <v>3</v>
      </c>
      <c r="I36">
        <v>4.3</v>
      </c>
      <c r="J36">
        <v>4</v>
      </c>
      <c r="K36">
        <v>5.9</v>
      </c>
      <c r="L36">
        <v>9.6999999999999993</v>
      </c>
      <c r="M36">
        <v>9.9</v>
      </c>
      <c r="N36" s="11">
        <f t="shared" si="5"/>
        <v>9.8666666666666654</v>
      </c>
      <c r="O36" s="11">
        <f t="shared" si="6"/>
        <v>3.6999999999999997</v>
      </c>
      <c r="P36" s="11">
        <f t="shared" si="7"/>
        <v>6.5333333333333341</v>
      </c>
      <c r="Q36" s="11">
        <f t="shared" si="8"/>
        <v>12.666666666666666</v>
      </c>
      <c r="R36" s="19">
        <f t="shared" si="4"/>
        <v>11.66</v>
      </c>
      <c r="S36" s="19">
        <f t="shared" si="9"/>
        <v>10.466666666666667</v>
      </c>
      <c r="T36" s="19">
        <f t="shared" si="10"/>
        <v>10.415066666666666</v>
      </c>
      <c r="U36" s="19">
        <f t="shared" si="11"/>
        <v>10.357142857142858</v>
      </c>
    </row>
    <row r="37" spans="1:21" x14ac:dyDescent="0.25">
      <c r="A37">
        <v>1936</v>
      </c>
      <c r="B37">
        <v>12.9</v>
      </c>
      <c r="C37">
        <v>15.2</v>
      </c>
      <c r="D37">
        <v>11.7</v>
      </c>
      <c r="E37">
        <v>8.6</v>
      </c>
      <c r="F37">
        <v>4.5</v>
      </c>
      <c r="G37">
        <v>2.1</v>
      </c>
      <c r="H37">
        <v>3.8</v>
      </c>
      <c r="I37">
        <v>3</v>
      </c>
      <c r="J37">
        <v>4.4000000000000004</v>
      </c>
      <c r="K37">
        <v>6.8</v>
      </c>
      <c r="L37">
        <v>12.3</v>
      </c>
      <c r="M37">
        <v>9.3000000000000007</v>
      </c>
      <c r="N37" s="11">
        <f t="shared" si="5"/>
        <v>8.2666666666666657</v>
      </c>
      <c r="O37" s="11">
        <f t="shared" si="6"/>
        <v>2.9666666666666668</v>
      </c>
      <c r="P37" s="11">
        <f t="shared" si="7"/>
        <v>7.833333333333333</v>
      </c>
      <c r="Q37" s="11">
        <f t="shared" si="8"/>
        <v>12.200000000000001</v>
      </c>
      <c r="R37" s="19">
        <f t="shared" si="4"/>
        <v>11.059999999999999</v>
      </c>
      <c r="S37" s="19">
        <f t="shared" si="9"/>
        <v>10.1</v>
      </c>
      <c r="T37" s="19">
        <f t="shared" si="10"/>
        <v>10.035499999999999</v>
      </c>
      <c r="U37" s="19">
        <f t="shared" si="11"/>
        <v>10.414285714285715</v>
      </c>
    </row>
    <row r="38" spans="1:21" x14ac:dyDescent="0.25">
      <c r="A38">
        <v>1937</v>
      </c>
      <c r="B38">
        <v>15.5</v>
      </c>
      <c r="C38">
        <v>11.8</v>
      </c>
      <c r="D38">
        <v>9.5</v>
      </c>
      <c r="E38">
        <v>9.1999999999999993</v>
      </c>
      <c r="F38">
        <v>5.3</v>
      </c>
      <c r="G38">
        <v>4.2</v>
      </c>
      <c r="H38">
        <v>2.7</v>
      </c>
      <c r="I38">
        <v>1.3</v>
      </c>
      <c r="J38">
        <v>5.0999999999999996</v>
      </c>
      <c r="K38">
        <v>8.5</v>
      </c>
      <c r="L38">
        <v>8.3000000000000007</v>
      </c>
      <c r="M38">
        <v>13.5</v>
      </c>
      <c r="N38" s="11">
        <f t="shared" si="5"/>
        <v>8</v>
      </c>
      <c r="O38" s="11">
        <f t="shared" si="6"/>
        <v>2.7333333333333338</v>
      </c>
      <c r="P38" s="11">
        <f t="shared" si="7"/>
        <v>7.3</v>
      </c>
      <c r="Q38" s="11">
        <f t="shared" si="8"/>
        <v>12.666666666666666</v>
      </c>
      <c r="R38" s="19">
        <f t="shared" si="4"/>
        <v>11.02</v>
      </c>
      <c r="S38" s="19">
        <f t="shared" si="9"/>
        <v>10.1</v>
      </c>
      <c r="T38" s="19">
        <f t="shared" si="10"/>
        <v>10.022599999999999</v>
      </c>
      <c r="U38" s="19">
        <f t="shared" si="11"/>
        <v>9.8428571428571434</v>
      </c>
    </row>
    <row r="39" spans="1:21" x14ac:dyDescent="0.25">
      <c r="A39">
        <v>1938</v>
      </c>
      <c r="B39">
        <v>11</v>
      </c>
      <c r="C39">
        <v>13.5</v>
      </c>
      <c r="D39">
        <v>9.5</v>
      </c>
      <c r="E39">
        <v>7.6</v>
      </c>
      <c r="F39">
        <v>5.5</v>
      </c>
      <c r="G39">
        <v>2.7</v>
      </c>
      <c r="H39">
        <v>1.8</v>
      </c>
      <c r="I39">
        <v>2.6</v>
      </c>
      <c r="J39">
        <v>4.7</v>
      </c>
      <c r="K39">
        <v>6.8</v>
      </c>
      <c r="L39">
        <v>9.1999999999999993</v>
      </c>
      <c r="M39">
        <v>11.8</v>
      </c>
      <c r="N39" s="11">
        <f t="shared" si="5"/>
        <v>7.5333333333333341</v>
      </c>
      <c r="O39" s="11">
        <f t="shared" si="6"/>
        <v>2.3666666666666667</v>
      </c>
      <c r="P39" s="11">
        <f t="shared" si="7"/>
        <v>6.8999999999999995</v>
      </c>
      <c r="Q39" s="11">
        <f t="shared" si="8"/>
        <v>12.266666666666666</v>
      </c>
      <c r="R39" s="19">
        <f t="shared" si="4"/>
        <v>11.08</v>
      </c>
      <c r="S39" s="19">
        <f t="shared" si="9"/>
        <v>10.183333333333334</v>
      </c>
      <c r="T39" s="19">
        <f t="shared" si="10"/>
        <v>10.093033333333334</v>
      </c>
      <c r="U39" s="19">
        <f t="shared" si="11"/>
        <v>10.042857142857144</v>
      </c>
    </row>
    <row r="40" spans="1:21" x14ac:dyDescent="0.25">
      <c r="A40">
        <v>1939</v>
      </c>
      <c r="B40">
        <v>12.8</v>
      </c>
      <c r="C40">
        <v>12.2</v>
      </c>
      <c r="D40">
        <v>11.2</v>
      </c>
      <c r="E40">
        <v>7.4</v>
      </c>
      <c r="F40">
        <v>5.7</v>
      </c>
      <c r="G40">
        <v>4.7</v>
      </c>
      <c r="H40">
        <v>4.0999999999999996</v>
      </c>
      <c r="I40">
        <v>5</v>
      </c>
      <c r="J40">
        <v>5.8</v>
      </c>
      <c r="K40">
        <v>7.2</v>
      </c>
      <c r="L40">
        <v>9.8000000000000007</v>
      </c>
      <c r="M40">
        <v>15.1</v>
      </c>
      <c r="N40" s="11">
        <f t="shared" si="5"/>
        <v>8.1</v>
      </c>
      <c r="O40" s="11">
        <f t="shared" si="6"/>
        <v>4.6000000000000005</v>
      </c>
      <c r="P40" s="11">
        <f t="shared" si="7"/>
        <v>7.6000000000000005</v>
      </c>
      <c r="Q40" s="11">
        <f t="shared" si="8"/>
        <v>14.366666666666667</v>
      </c>
      <c r="R40" s="19">
        <f t="shared" si="4"/>
        <v>12.18</v>
      </c>
      <c r="S40" s="19">
        <f t="shared" si="9"/>
        <v>11.1</v>
      </c>
      <c r="T40" s="19">
        <f t="shared" si="10"/>
        <v>10.9968</v>
      </c>
      <c r="U40" s="19">
        <f t="shared" si="11"/>
        <v>10.914285714285715</v>
      </c>
    </row>
    <row r="41" spans="1:21" x14ac:dyDescent="0.25">
      <c r="A41">
        <v>1940</v>
      </c>
      <c r="B41">
        <v>13.5</v>
      </c>
      <c r="C41">
        <v>14.5</v>
      </c>
      <c r="D41">
        <v>10.5</v>
      </c>
      <c r="E41">
        <v>7.3</v>
      </c>
      <c r="F41">
        <v>5.7</v>
      </c>
      <c r="G41">
        <v>4.7</v>
      </c>
      <c r="H41">
        <v>3.9</v>
      </c>
      <c r="I41">
        <v>3.5</v>
      </c>
      <c r="J41">
        <v>6</v>
      </c>
      <c r="K41">
        <v>7.7</v>
      </c>
      <c r="L41">
        <v>10.1</v>
      </c>
      <c r="M41">
        <v>11</v>
      </c>
      <c r="N41" s="11">
        <f t="shared" si="5"/>
        <v>7.833333333333333</v>
      </c>
      <c r="O41" s="11">
        <f t="shared" si="6"/>
        <v>4.0333333333333332</v>
      </c>
      <c r="P41" s="11">
        <f t="shared" si="7"/>
        <v>7.9333333333333327</v>
      </c>
      <c r="Q41" s="11">
        <f t="shared" si="8"/>
        <v>13.433333333333332</v>
      </c>
      <c r="R41" s="19">
        <f t="shared" si="4"/>
        <v>11.879999999999999</v>
      </c>
      <c r="S41" s="19">
        <f t="shared" si="9"/>
        <v>10.483333333333333</v>
      </c>
      <c r="T41" s="19">
        <f t="shared" si="10"/>
        <v>10.367233333333333</v>
      </c>
      <c r="U41" s="19">
        <f t="shared" si="11"/>
        <v>10.428571428571429</v>
      </c>
    </row>
    <row r="42" spans="1:21" x14ac:dyDescent="0.25">
      <c r="A42">
        <v>1941</v>
      </c>
      <c r="B42">
        <v>15.9</v>
      </c>
      <c r="C42">
        <v>13.4</v>
      </c>
      <c r="D42">
        <v>12.9</v>
      </c>
      <c r="E42">
        <v>6.2</v>
      </c>
      <c r="F42">
        <v>3.5</v>
      </c>
      <c r="G42">
        <v>4.2</v>
      </c>
      <c r="H42">
        <v>3.2</v>
      </c>
      <c r="I42">
        <v>4.4000000000000004</v>
      </c>
      <c r="J42">
        <v>4.5999999999999996</v>
      </c>
      <c r="K42">
        <v>8.6999999999999993</v>
      </c>
      <c r="L42">
        <v>7.3</v>
      </c>
      <c r="M42">
        <v>10.7</v>
      </c>
      <c r="N42" s="11">
        <f t="shared" si="5"/>
        <v>7.5333333333333341</v>
      </c>
      <c r="O42" s="11">
        <f t="shared" si="6"/>
        <v>3.9333333333333336</v>
      </c>
      <c r="P42" s="11">
        <f t="shared" si="7"/>
        <v>6.8666666666666663</v>
      </c>
      <c r="Q42" s="11">
        <f t="shared" si="8"/>
        <v>12.5</v>
      </c>
      <c r="R42" s="19">
        <f t="shared" si="4"/>
        <v>11.1</v>
      </c>
      <c r="S42" s="19">
        <f t="shared" si="9"/>
        <v>10.016666666666667</v>
      </c>
      <c r="T42" s="19">
        <f t="shared" si="10"/>
        <v>9.8876666666666679</v>
      </c>
      <c r="U42" s="19">
        <f t="shared" si="11"/>
        <v>9.6285714285714281</v>
      </c>
    </row>
    <row r="43" spans="1:21" x14ac:dyDescent="0.25">
      <c r="A43">
        <v>1942</v>
      </c>
      <c r="B43">
        <v>14</v>
      </c>
      <c r="C43">
        <v>12.8</v>
      </c>
      <c r="D43">
        <v>10</v>
      </c>
      <c r="E43">
        <v>8</v>
      </c>
      <c r="F43">
        <v>4.5999999999999996</v>
      </c>
      <c r="G43">
        <v>2.2999999999999998</v>
      </c>
      <c r="H43">
        <v>1.3</v>
      </c>
      <c r="I43">
        <v>2.2999999999999998</v>
      </c>
      <c r="J43">
        <v>5.0999999999999996</v>
      </c>
      <c r="K43">
        <v>7.5</v>
      </c>
      <c r="L43">
        <v>11.1</v>
      </c>
      <c r="M43">
        <v>14</v>
      </c>
      <c r="N43" s="11">
        <f t="shared" si="5"/>
        <v>7.5333333333333341</v>
      </c>
      <c r="O43" s="11">
        <f t="shared" si="6"/>
        <v>1.9666666666666666</v>
      </c>
      <c r="P43" s="11">
        <f t="shared" si="7"/>
        <v>7.8999999999999995</v>
      </c>
      <c r="Q43" s="11">
        <f t="shared" si="8"/>
        <v>14.566666666666668</v>
      </c>
      <c r="R43" s="19">
        <f t="shared" si="4"/>
        <v>12.8</v>
      </c>
      <c r="S43" s="19">
        <f t="shared" si="9"/>
        <v>11.75</v>
      </c>
      <c r="T43" s="19">
        <f t="shared" si="10"/>
        <v>11.6081</v>
      </c>
      <c r="U43" s="19">
        <f t="shared" si="11"/>
        <v>11.657142857142858</v>
      </c>
    </row>
    <row r="44" spans="1:21" x14ac:dyDescent="0.25">
      <c r="A44">
        <v>1943</v>
      </c>
      <c r="B44">
        <v>15.1</v>
      </c>
      <c r="C44">
        <v>14.6</v>
      </c>
      <c r="D44">
        <v>10.5</v>
      </c>
      <c r="E44">
        <v>9.8000000000000007</v>
      </c>
      <c r="F44">
        <v>6.5</v>
      </c>
      <c r="G44">
        <v>2.7</v>
      </c>
      <c r="H44">
        <v>2.9</v>
      </c>
      <c r="I44">
        <v>2.6</v>
      </c>
      <c r="J44">
        <v>4.7</v>
      </c>
      <c r="K44">
        <v>7.6</v>
      </c>
      <c r="L44">
        <v>10.5</v>
      </c>
      <c r="M44">
        <v>16.2</v>
      </c>
      <c r="N44" s="11">
        <f t="shared" si="5"/>
        <v>8.9333333333333336</v>
      </c>
      <c r="O44" s="11">
        <f t="shared" si="6"/>
        <v>2.7333333333333329</v>
      </c>
      <c r="P44" s="11">
        <f t="shared" si="7"/>
        <v>7.6000000000000005</v>
      </c>
      <c r="Q44" s="11">
        <f t="shared" si="8"/>
        <v>15.566666666666668</v>
      </c>
      <c r="R44" s="19">
        <f t="shared" si="4"/>
        <v>14.020000000000001</v>
      </c>
      <c r="S44" s="19">
        <f t="shared" si="9"/>
        <v>12.566666666666668</v>
      </c>
      <c r="T44" s="19">
        <f t="shared" si="10"/>
        <v>12.411866666666668</v>
      </c>
      <c r="U44" s="19">
        <f t="shared" si="11"/>
        <v>12.271428571428572</v>
      </c>
    </row>
    <row r="45" spans="1:21" x14ac:dyDescent="0.25">
      <c r="A45">
        <v>1944</v>
      </c>
      <c r="B45">
        <v>15.2</v>
      </c>
      <c r="C45">
        <v>15.3</v>
      </c>
      <c r="D45">
        <v>13.5</v>
      </c>
      <c r="E45">
        <v>9.9</v>
      </c>
      <c r="F45">
        <v>5.3</v>
      </c>
      <c r="G45">
        <v>3.8</v>
      </c>
      <c r="H45">
        <v>2.4</v>
      </c>
      <c r="I45">
        <v>0.7</v>
      </c>
      <c r="J45">
        <v>4.7</v>
      </c>
      <c r="K45">
        <v>5.5</v>
      </c>
      <c r="L45">
        <v>10.4</v>
      </c>
      <c r="M45">
        <v>13.8</v>
      </c>
      <c r="N45" s="11">
        <f t="shared" si="5"/>
        <v>9.5666666666666664</v>
      </c>
      <c r="O45" s="11">
        <f t="shared" si="6"/>
        <v>2.2999999999999998</v>
      </c>
      <c r="P45" s="11">
        <f t="shared" si="7"/>
        <v>6.8666666666666671</v>
      </c>
      <c r="Q45" s="11">
        <f t="shared" si="8"/>
        <v>15.100000000000001</v>
      </c>
      <c r="R45" s="19">
        <f t="shared" si="4"/>
        <v>13.48</v>
      </c>
      <c r="S45" s="19">
        <f t="shared" si="9"/>
        <v>12.25</v>
      </c>
      <c r="T45" s="19">
        <f t="shared" si="10"/>
        <v>12.0823</v>
      </c>
      <c r="U45" s="19">
        <f t="shared" si="11"/>
        <v>11.985714285714284</v>
      </c>
    </row>
    <row r="46" spans="1:21" x14ac:dyDescent="0.25">
      <c r="A46">
        <v>1945</v>
      </c>
      <c r="B46">
        <v>16.600000000000001</v>
      </c>
      <c r="C46">
        <v>14.9</v>
      </c>
      <c r="D46">
        <v>13.1</v>
      </c>
      <c r="E46">
        <v>9</v>
      </c>
      <c r="F46">
        <v>6.1</v>
      </c>
      <c r="G46">
        <v>3.8</v>
      </c>
      <c r="H46">
        <v>0.8</v>
      </c>
      <c r="I46">
        <v>2.6</v>
      </c>
      <c r="J46">
        <v>5.6</v>
      </c>
      <c r="K46">
        <v>7.6</v>
      </c>
      <c r="L46">
        <v>9.1999999999999993</v>
      </c>
      <c r="M46">
        <v>11.5</v>
      </c>
      <c r="N46" s="11">
        <f t="shared" si="5"/>
        <v>9.4</v>
      </c>
      <c r="O46" s="11">
        <f t="shared" si="6"/>
        <v>2.4</v>
      </c>
      <c r="P46" s="11">
        <f t="shared" si="7"/>
        <v>7.4666666666666659</v>
      </c>
      <c r="Q46" s="11">
        <f t="shared" si="8"/>
        <v>11.833333333333334</v>
      </c>
      <c r="R46" s="19">
        <f t="shared" si="4"/>
        <v>11.34</v>
      </c>
      <c r="S46" s="19">
        <f t="shared" si="9"/>
        <v>10.316666666666668</v>
      </c>
      <c r="T46" s="19">
        <f t="shared" si="10"/>
        <v>10.136066666666668</v>
      </c>
      <c r="U46" s="19">
        <f t="shared" si="11"/>
        <v>10.157142857142857</v>
      </c>
    </row>
    <row r="47" spans="1:21" x14ac:dyDescent="0.25">
      <c r="A47">
        <v>1946</v>
      </c>
      <c r="B47">
        <v>12.6</v>
      </c>
      <c r="C47">
        <v>11.4</v>
      </c>
      <c r="D47">
        <v>11.4</v>
      </c>
      <c r="E47">
        <v>9.8000000000000007</v>
      </c>
      <c r="F47">
        <v>5.2</v>
      </c>
      <c r="G47">
        <v>5.0999999999999996</v>
      </c>
      <c r="H47">
        <v>3.4</v>
      </c>
      <c r="I47">
        <v>4.2</v>
      </c>
      <c r="J47">
        <v>5.0999999999999996</v>
      </c>
      <c r="K47">
        <v>8.3000000000000007</v>
      </c>
      <c r="L47">
        <v>7.9</v>
      </c>
      <c r="M47">
        <v>11.9</v>
      </c>
      <c r="N47" s="11">
        <f t="shared" si="5"/>
        <v>8.8000000000000007</v>
      </c>
      <c r="O47" s="11">
        <f t="shared" si="6"/>
        <v>4.2333333333333334</v>
      </c>
      <c r="P47" s="11">
        <f t="shared" si="7"/>
        <v>7.1000000000000005</v>
      </c>
      <c r="Q47" s="11">
        <f t="shared" si="8"/>
        <v>12.266666666666666</v>
      </c>
      <c r="R47" s="19">
        <f t="shared" si="4"/>
        <v>11.28</v>
      </c>
      <c r="S47" s="19">
        <f t="shared" si="9"/>
        <v>10.383333333333333</v>
      </c>
      <c r="T47" s="19">
        <f t="shared" si="10"/>
        <v>10.189833333333333</v>
      </c>
      <c r="U47" s="19">
        <f t="shared" si="11"/>
        <v>10.02857142857143</v>
      </c>
    </row>
    <row r="48" spans="1:21" x14ac:dyDescent="0.25">
      <c r="A48">
        <v>1947</v>
      </c>
      <c r="B48">
        <v>11.5</v>
      </c>
      <c r="C48">
        <v>13.4</v>
      </c>
      <c r="D48">
        <v>11.6</v>
      </c>
      <c r="E48">
        <v>8</v>
      </c>
      <c r="F48">
        <v>5.9</v>
      </c>
      <c r="G48">
        <v>4.4000000000000004</v>
      </c>
      <c r="H48">
        <v>2.1</v>
      </c>
      <c r="I48">
        <v>2.8</v>
      </c>
      <c r="J48">
        <v>4.2</v>
      </c>
      <c r="K48">
        <v>8.5</v>
      </c>
      <c r="L48">
        <v>12.3</v>
      </c>
      <c r="M48">
        <v>11</v>
      </c>
      <c r="N48" s="11">
        <f t="shared" si="5"/>
        <v>8.5</v>
      </c>
      <c r="O48" s="11">
        <f t="shared" si="6"/>
        <v>3.1</v>
      </c>
      <c r="P48" s="11">
        <f t="shared" si="7"/>
        <v>8.3333333333333339</v>
      </c>
      <c r="Q48" s="11">
        <f t="shared" si="8"/>
        <v>12.866666666666667</v>
      </c>
      <c r="R48" s="19">
        <f t="shared" si="4"/>
        <v>11.42</v>
      </c>
      <c r="S48" s="19">
        <f t="shared" si="9"/>
        <v>10.516666666666667</v>
      </c>
      <c r="T48" s="19">
        <f t="shared" si="10"/>
        <v>10.310266666666667</v>
      </c>
      <c r="U48" s="19">
        <f t="shared" si="11"/>
        <v>10.771428571428572</v>
      </c>
    </row>
    <row r="49" spans="1:21" x14ac:dyDescent="0.25">
      <c r="A49">
        <v>1948</v>
      </c>
      <c r="B49">
        <v>13.5</v>
      </c>
      <c r="C49">
        <v>14.1</v>
      </c>
      <c r="D49">
        <v>10.5</v>
      </c>
      <c r="E49">
        <v>8</v>
      </c>
      <c r="F49">
        <v>6</v>
      </c>
      <c r="G49">
        <v>4.4000000000000004</v>
      </c>
      <c r="H49">
        <v>1.4</v>
      </c>
      <c r="I49">
        <v>2.4</v>
      </c>
      <c r="J49">
        <v>4.8</v>
      </c>
      <c r="K49">
        <v>7.8</v>
      </c>
      <c r="L49">
        <v>11.3</v>
      </c>
      <c r="M49">
        <v>11.7</v>
      </c>
      <c r="N49" s="11">
        <f t="shared" si="5"/>
        <v>8.1666666666666661</v>
      </c>
      <c r="O49" s="11">
        <f t="shared" si="6"/>
        <v>2.7333333333333338</v>
      </c>
      <c r="P49" s="11">
        <f t="shared" si="7"/>
        <v>7.9666666666666659</v>
      </c>
      <c r="Q49" s="11">
        <f t="shared" si="8"/>
        <v>13.266666666666666</v>
      </c>
      <c r="R49" s="19">
        <f t="shared" si="4"/>
        <v>11.68</v>
      </c>
      <c r="S49" s="19">
        <f t="shared" si="9"/>
        <v>10.549999999999999</v>
      </c>
      <c r="T49" s="19">
        <f t="shared" si="10"/>
        <v>10.330699999999998</v>
      </c>
      <c r="U49" s="19">
        <f t="shared" si="11"/>
        <v>10.657142857142858</v>
      </c>
    </row>
    <row r="50" spans="1:21" x14ac:dyDescent="0.25">
      <c r="A50">
        <v>1949</v>
      </c>
      <c r="B50">
        <v>15.6</v>
      </c>
      <c r="C50">
        <v>12.5</v>
      </c>
      <c r="D50">
        <v>9.1</v>
      </c>
      <c r="E50">
        <v>9.5</v>
      </c>
      <c r="F50">
        <v>4.9000000000000004</v>
      </c>
      <c r="G50">
        <v>3.1</v>
      </c>
      <c r="H50">
        <v>2.8</v>
      </c>
      <c r="I50">
        <v>2.7</v>
      </c>
      <c r="J50">
        <v>5</v>
      </c>
      <c r="K50">
        <v>10.1</v>
      </c>
      <c r="L50">
        <v>11.7</v>
      </c>
      <c r="M50">
        <v>11.8</v>
      </c>
      <c r="N50" s="11">
        <f t="shared" si="5"/>
        <v>7.833333333333333</v>
      </c>
      <c r="O50" s="11">
        <f t="shared" si="6"/>
        <v>2.8666666666666671</v>
      </c>
      <c r="P50" s="11">
        <f t="shared" si="7"/>
        <v>8.9333333333333318</v>
      </c>
      <c r="Q50" s="11">
        <f t="shared" si="8"/>
        <v>13.866666666666665</v>
      </c>
      <c r="R50" s="19">
        <f t="shared" si="4"/>
        <v>12.219999999999999</v>
      </c>
      <c r="S50" s="19">
        <f t="shared" si="9"/>
        <v>10.916666666666666</v>
      </c>
      <c r="T50" s="19">
        <f t="shared" si="10"/>
        <v>10.684466666666665</v>
      </c>
      <c r="U50" s="19">
        <f t="shared" si="11"/>
        <v>11.028571428571428</v>
      </c>
    </row>
    <row r="51" spans="1:21" x14ac:dyDescent="0.25">
      <c r="A51">
        <v>1950</v>
      </c>
      <c r="B51">
        <v>15.6</v>
      </c>
      <c r="C51">
        <v>14.2</v>
      </c>
      <c r="D51">
        <v>11.6</v>
      </c>
      <c r="E51">
        <v>7.9</v>
      </c>
      <c r="F51">
        <v>4.4000000000000004</v>
      </c>
      <c r="G51">
        <v>3.8</v>
      </c>
      <c r="H51">
        <v>2.6</v>
      </c>
      <c r="I51">
        <v>2.7</v>
      </c>
      <c r="J51">
        <v>3</v>
      </c>
      <c r="K51">
        <v>6.8</v>
      </c>
      <c r="L51">
        <v>9.8000000000000007</v>
      </c>
      <c r="M51">
        <v>11.1</v>
      </c>
      <c r="N51" s="11">
        <f t="shared" si="5"/>
        <v>7.9666666666666659</v>
      </c>
      <c r="O51" s="11">
        <f t="shared" si="6"/>
        <v>3.0333333333333337</v>
      </c>
      <c r="P51" s="11">
        <f t="shared" si="7"/>
        <v>6.5333333333333341</v>
      </c>
      <c r="Q51" s="11">
        <f t="shared" si="8"/>
        <v>11.533333333333331</v>
      </c>
      <c r="R51" s="19">
        <f t="shared" si="4"/>
        <v>11.059999999999999</v>
      </c>
      <c r="S51" s="19">
        <f t="shared" si="9"/>
        <v>10.333333333333334</v>
      </c>
      <c r="T51" s="19">
        <f t="shared" si="10"/>
        <v>10.088233333333333</v>
      </c>
      <c r="U51" s="19">
        <f t="shared" si="11"/>
        <v>10.257142857142856</v>
      </c>
    </row>
    <row r="52" spans="1:21" x14ac:dyDescent="0.25">
      <c r="A52">
        <v>1951</v>
      </c>
      <c r="B52">
        <v>12.7</v>
      </c>
      <c r="C52">
        <v>10.8</v>
      </c>
      <c r="D52">
        <v>11.1</v>
      </c>
      <c r="E52">
        <v>9.6</v>
      </c>
      <c r="F52">
        <v>6.7</v>
      </c>
      <c r="G52">
        <v>3.8</v>
      </c>
      <c r="H52">
        <v>2.7</v>
      </c>
      <c r="I52">
        <v>3.8</v>
      </c>
      <c r="J52">
        <v>3.3</v>
      </c>
      <c r="K52">
        <v>7.2</v>
      </c>
      <c r="L52">
        <v>8.3000000000000007</v>
      </c>
      <c r="M52">
        <v>14.7</v>
      </c>
      <c r="N52" s="11">
        <f t="shared" si="5"/>
        <v>9.1333333333333329</v>
      </c>
      <c r="O52" s="11">
        <f t="shared" si="6"/>
        <v>3.4333333333333336</v>
      </c>
      <c r="P52" s="11">
        <f t="shared" si="7"/>
        <v>6.2666666666666666</v>
      </c>
      <c r="Q52" s="11">
        <f t="shared" si="8"/>
        <v>14.933333333333332</v>
      </c>
      <c r="R52" s="19">
        <f t="shared" si="4"/>
        <v>12.979999999999999</v>
      </c>
      <c r="S52" s="19">
        <f t="shared" si="9"/>
        <v>11.699999999999998</v>
      </c>
      <c r="T52" s="19">
        <f t="shared" si="10"/>
        <v>11.441999999999997</v>
      </c>
      <c r="U52" s="19">
        <f t="shared" si="11"/>
        <v>11.214285714285712</v>
      </c>
    </row>
    <row r="53" spans="1:21" x14ac:dyDescent="0.25">
      <c r="A53">
        <v>1952</v>
      </c>
      <c r="B53">
        <v>14.8</v>
      </c>
      <c r="C53">
        <v>15.3</v>
      </c>
      <c r="D53">
        <v>10.3</v>
      </c>
      <c r="E53">
        <v>9.8000000000000007</v>
      </c>
      <c r="F53">
        <v>5.3</v>
      </c>
      <c r="G53">
        <v>1.4</v>
      </c>
      <c r="H53">
        <v>4</v>
      </c>
      <c r="I53">
        <v>3.1</v>
      </c>
      <c r="J53">
        <v>6.7</v>
      </c>
      <c r="K53">
        <v>8.6999999999999993</v>
      </c>
      <c r="L53">
        <v>11.5</v>
      </c>
      <c r="M53">
        <v>15.6</v>
      </c>
      <c r="N53" s="11">
        <f t="shared" si="5"/>
        <v>8.4666666666666668</v>
      </c>
      <c r="O53" s="11">
        <f t="shared" si="6"/>
        <v>2.8333333333333335</v>
      </c>
      <c r="P53" s="11">
        <f t="shared" si="7"/>
        <v>8.9666666666666668</v>
      </c>
      <c r="Q53" s="11">
        <f t="shared" si="8"/>
        <v>15</v>
      </c>
      <c r="R53" s="19">
        <f t="shared" si="4"/>
        <v>13.059999999999999</v>
      </c>
      <c r="S53" s="19">
        <f t="shared" si="9"/>
        <v>12.016666666666666</v>
      </c>
      <c r="T53" s="19">
        <f t="shared" si="10"/>
        <v>11.745766666666666</v>
      </c>
      <c r="U53" s="19">
        <f t="shared" si="11"/>
        <v>11.942857142857141</v>
      </c>
    </row>
    <row r="54" spans="1:21" x14ac:dyDescent="0.25">
      <c r="A54">
        <v>1953</v>
      </c>
      <c r="B54">
        <v>13.7</v>
      </c>
      <c r="C54">
        <v>15.7</v>
      </c>
      <c r="D54">
        <v>11.5</v>
      </c>
      <c r="E54">
        <v>8.8000000000000007</v>
      </c>
      <c r="F54">
        <v>6.8</v>
      </c>
      <c r="G54">
        <v>4.2</v>
      </c>
      <c r="H54">
        <v>1.6</v>
      </c>
      <c r="I54">
        <v>2.8</v>
      </c>
      <c r="J54">
        <v>4.3</v>
      </c>
      <c r="K54">
        <v>5.3</v>
      </c>
      <c r="L54">
        <v>10.5</v>
      </c>
      <c r="M54">
        <v>13.6</v>
      </c>
      <c r="N54" s="11">
        <f t="shared" si="5"/>
        <v>9.0333333333333332</v>
      </c>
      <c r="O54" s="11">
        <f t="shared" si="6"/>
        <v>2.8666666666666671</v>
      </c>
      <c r="P54" s="11">
        <f t="shared" si="7"/>
        <v>6.7</v>
      </c>
      <c r="Q54" s="11">
        <f t="shared" si="8"/>
        <v>13.633333333333333</v>
      </c>
      <c r="R54" s="19">
        <f t="shared" si="4"/>
        <v>12.559999999999999</v>
      </c>
      <c r="S54" s="19">
        <f t="shared" si="9"/>
        <v>11.366666666666667</v>
      </c>
      <c r="T54" s="19">
        <f t="shared" si="10"/>
        <v>11.082866666666668</v>
      </c>
      <c r="U54" s="19">
        <f t="shared" si="11"/>
        <v>11.242857142857146</v>
      </c>
    </row>
    <row r="55" spans="1:21" x14ac:dyDescent="0.25">
      <c r="A55">
        <v>1954</v>
      </c>
      <c r="B55">
        <v>13.8</v>
      </c>
      <c r="C55">
        <v>13.5</v>
      </c>
      <c r="D55">
        <v>14</v>
      </c>
      <c r="E55">
        <v>7.9</v>
      </c>
      <c r="F55">
        <v>5.4</v>
      </c>
      <c r="G55">
        <v>2.6</v>
      </c>
      <c r="H55">
        <v>2</v>
      </c>
      <c r="I55">
        <v>3.2</v>
      </c>
      <c r="J55">
        <v>4.2</v>
      </c>
      <c r="K55">
        <v>7</v>
      </c>
      <c r="L55">
        <v>10.9</v>
      </c>
      <c r="M55">
        <v>12.5</v>
      </c>
      <c r="N55" s="11">
        <f t="shared" si="5"/>
        <v>9.1</v>
      </c>
      <c r="O55" s="11">
        <f t="shared" si="6"/>
        <v>2.6</v>
      </c>
      <c r="P55" s="11">
        <f t="shared" si="7"/>
        <v>7.3666666666666671</v>
      </c>
      <c r="Q55" s="11">
        <f t="shared" si="8"/>
        <v>13.366666666666665</v>
      </c>
      <c r="R55" s="19">
        <f t="shared" si="4"/>
        <v>12</v>
      </c>
      <c r="S55" s="19">
        <f t="shared" si="9"/>
        <v>10.700000000000001</v>
      </c>
      <c r="T55" s="19">
        <f t="shared" si="10"/>
        <v>10.403300000000002</v>
      </c>
      <c r="U55" s="19">
        <f t="shared" si="11"/>
        <v>10.72857142857143</v>
      </c>
    </row>
    <row r="56" spans="1:21" x14ac:dyDescent="0.25">
      <c r="A56">
        <v>1955</v>
      </c>
      <c r="B56">
        <v>15.4</v>
      </c>
      <c r="C56">
        <v>12.2</v>
      </c>
      <c r="D56">
        <v>11.6</v>
      </c>
      <c r="E56">
        <v>8.3000000000000007</v>
      </c>
      <c r="F56">
        <v>4.2</v>
      </c>
      <c r="G56">
        <v>2.1</v>
      </c>
      <c r="H56">
        <v>1.4</v>
      </c>
      <c r="I56">
        <v>1.5</v>
      </c>
      <c r="J56">
        <v>4.2</v>
      </c>
      <c r="K56">
        <v>8.4</v>
      </c>
      <c r="L56">
        <v>12</v>
      </c>
      <c r="M56">
        <v>10.1</v>
      </c>
      <c r="N56" s="11">
        <f t="shared" si="5"/>
        <v>8.0333333333333332</v>
      </c>
      <c r="O56" s="11">
        <f t="shared" si="6"/>
        <v>1.6666666666666667</v>
      </c>
      <c r="P56" s="11">
        <f t="shared" si="7"/>
        <v>8.2000000000000011</v>
      </c>
      <c r="Q56" s="11">
        <f t="shared" si="8"/>
        <v>11.266666666666666</v>
      </c>
      <c r="R56" s="19">
        <f t="shared" si="4"/>
        <v>10.559999999999999</v>
      </c>
      <c r="S56" s="19">
        <f t="shared" si="9"/>
        <v>9.2999999999999989</v>
      </c>
      <c r="T56" s="19">
        <f t="shared" si="10"/>
        <v>8.9903999999999993</v>
      </c>
      <c r="U56" s="19">
        <f t="shared" si="11"/>
        <v>9.6857142857142851</v>
      </c>
    </row>
    <row r="57" spans="1:21" x14ac:dyDescent="0.25">
      <c r="A57">
        <v>1956</v>
      </c>
      <c r="B57">
        <v>10.4</v>
      </c>
      <c r="C57">
        <v>13.3</v>
      </c>
      <c r="D57">
        <v>9.5</v>
      </c>
      <c r="E57">
        <v>9.5</v>
      </c>
      <c r="F57">
        <v>3</v>
      </c>
      <c r="G57">
        <v>1.4</v>
      </c>
      <c r="H57">
        <v>3</v>
      </c>
      <c r="I57">
        <v>2.2999999999999998</v>
      </c>
      <c r="J57">
        <v>3.7</v>
      </c>
      <c r="K57">
        <v>8.5</v>
      </c>
      <c r="L57">
        <v>13.2</v>
      </c>
      <c r="M57">
        <v>16.3</v>
      </c>
      <c r="N57" s="11">
        <f t="shared" si="5"/>
        <v>7.333333333333333</v>
      </c>
      <c r="O57" s="11">
        <f t="shared" si="6"/>
        <v>2.2333333333333334</v>
      </c>
      <c r="P57" s="11">
        <f t="shared" si="7"/>
        <v>8.4666666666666668</v>
      </c>
      <c r="Q57" s="11">
        <f t="shared" si="8"/>
        <v>15.633333333333333</v>
      </c>
      <c r="R57" s="19">
        <f t="shared" si="4"/>
        <v>13.5</v>
      </c>
      <c r="S57" s="19">
        <f t="shared" si="9"/>
        <v>12.183333333333332</v>
      </c>
      <c r="T57" s="19">
        <f t="shared" si="10"/>
        <v>11.860833333333332</v>
      </c>
      <c r="U57" s="19">
        <f t="shared" si="11"/>
        <v>12.328571428571427</v>
      </c>
    </row>
    <row r="58" spans="1:21" x14ac:dyDescent="0.25">
      <c r="A58">
        <v>1957</v>
      </c>
      <c r="B58">
        <v>15.1</v>
      </c>
      <c r="C58">
        <v>15.5</v>
      </c>
      <c r="D58">
        <v>13.2</v>
      </c>
      <c r="E58">
        <v>7.4</v>
      </c>
      <c r="F58">
        <v>5.6</v>
      </c>
      <c r="G58">
        <v>2.6</v>
      </c>
      <c r="H58">
        <v>2.4</v>
      </c>
      <c r="I58">
        <v>2.2000000000000002</v>
      </c>
      <c r="J58">
        <v>4.2</v>
      </c>
      <c r="K58">
        <v>6.2</v>
      </c>
      <c r="L58">
        <v>11.6</v>
      </c>
      <c r="M58">
        <v>12.4</v>
      </c>
      <c r="N58" s="11">
        <f t="shared" si="5"/>
        <v>8.7333333333333343</v>
      </c>
      <c r="O58" s="11">
        <f t="shared" si="6"/>
        <v>2.4</v>
      </c>
      <c r="P58" s="11">
        <f t="shared" si="7"/>
        <v>7.333333333333333</v>
      </c>
      <c r="Q58" s="11">
        <f t="shared" si="8"/>
        <v>13.133333333333333</v>
      </c>
      <c r="R58" s="19">
        <f t="shared" si="4"/>
        <v>11.999999999999998</v>
      </c>
      <c r="S58" s="19">
        <f t="shared" si="9"/>
        <v>10.816666666666665</v>
      </c>
      <c r="T58" s="19">
        <f t="shared" si="10"/>
        <v>10.481266666666665</v>
      </c>
      <c r="U58" s="19">
        <f t="shared" si="11"/>
        <v>10.928571428571431</v>
      </c>
    </row>
    <row r="59" spans="1:21" x14ac:dyDescent="0.25">
      <c r="A59">
        <v>1958</v>
      </c>
      <c r="B59">
        <v>14</v>
      </c>
      <c r="C59">
        <v>13</v>
      </c>
      <c r="D59">
        <v>12.7</v>
      </c>
      <c r="E59">
        <v>7.9</v>
      </c>
      <c r="F59">
        <v>4.9000000000000004</v>
      </c>
      <c r="G59">
        <v>2.1</v>
      </c>
      <c r="H59">
        <v>3.5</v>
      </c>
      <c r="I59">
        <v>1.8</v>
      </c>
      <c r="J59">
        <v>4.2</v>
      </c>
      <c r="K59">
        <v>10</v>
      </c>
      <c r="L59">
        <v>9.8000000000000007</v>
      </c>
      <c r="M59">
        <v>13.6</v>
      </c>
      <c r="N59" s="11">
        <f t="shared" si="5"/>
        <v>8.5</v>
      </c>
      <c r="O59" s="11">
        <f t="shared" si="6"/>
        <v>2.4666666666666663</v>
      </c>
      <c r="P59" s="11">
        <f t="shared" si="7"/>
        <v>8</v>
      </c>
      <c r="Q59" s="11">
        <f t="shared" si="8"/>
        <v>14.233333333333334</v>
      </c>
      <c r="R59" s="19">
        <f t="shared" si="4"/>
        <v>12.34</v>
      </c>
      <c r="S59" s="19">
        <f t="shared" si="9"/>
        <v>11.083333333333334</v>
      </c>
      <c r="T59" s="19">
        <f t="shared" si="10"/>
        <v>10.735033333333334</v>
      </c>
      <c r="U59" s="19">
        <f t="shared" si="11"/>
        <v>10.9</v>
      </c>
    </row>
    <row r="60" spans="1:21" x14ac:dyDescent="0.25">
      <c r="A60">
        <v>1959</v>
      </c>
      <c r="B60">
        <v>14.4</v>
      </c>
      <c r="C60">
        <v>14.7</v>
      </c>
      <c r="D60">
        <v>10.9</v>
      </c>
      <c r="E60">
        <v>8.1</v>
      </c>
      <c r="F60">
        <v>4.8</v>
      </c>
      <c r="G60">
        <v>3.1</v>
      </c>
      <c r="H60">
        <v>1.8</v>
      </c>
      <c r="I60">
        <v>2.6</v>
      </c>
      <c r="J60">
        <v>3.9</v>
      </c>
      <c r="K60">
        <v>6.3</v>
      </c>
      <c r="L60">
        <v>10.5</v>
      </c>
      <c r="M60">
        <v>14.1</v>
      </c>
      <c r="N60" s="11">
        <f t="shared" si="5"/>
        <v>7.9333333333333336</v>
      </c>
      <c r="O60" s="11">
        <f t="shared" si="6"/>
        <v>2.5</v>
      </c>
      <c r="P60" s="11">
        <f t="shared" si="7"/>
        <v>6.8999999999999995</v>
      </c>
      <c r="Q60" s="11">
        <f t="shared" si="8"/>
        <v>15.166666666666666</v>
      </c>
      <c r="R60" s="19">
        <f t="shared" si="4"/>
        <v>13.36</v>
      </c>
      <c r="S60" s="19">
        <f t="shared" si="9"/>
        <v>11.983333333333333</v>
      </c>
      <c r="T60" s="19">
        <f t="shared" si="10"/>
        <v>11.622133333333332</v>
      </c>
      <c r="U60" s="19">
        <f t="shared" si="11"/>
        <v>11.771428571428572</v>
      </c>
    </row>
    <row r="61" spans="1:21" x14ac:dyDescent="0.25">
      <c r="A61">
        <v>1960</v>
      </c>
      <c r="B61">
        <v>16.8</v>
      </c>
      <c r="C61">
        <v>14.6</v>
      </c>
      <c r="D61">
        <v>12.8</v>
      </c>
      <c r="E61">
        <v>8.5</v>
      </c>
      <c r="F61">
        <v>5.0999999999999996</v>
      </c>
      <c r="G61">
        <v>3.4</v>
      </c>
      <c r="H61">
        <v>1</v>
      </c>
      <c r="I61">
        <v>3.5</v>
      </c>
      <c r="J61">
        <v>5.4</v>
      </c>
      <c r="K61">
        <v>7</v>
      </c>
      <c r="L61">
        <v>11</v>
      </c>
      <c r="M61">
        <v>13.7</v>
      </c>
      <c r="N61" s="11">
        <f t="shared" si="5"/>
        <v>8.7999999999999989</v>
      </c>
      <c r="O61" s="11">
        <f t="shared" si="6"/>
        <v>2.6333333333333333</v>
      </c>
      <c r="P61" s="11">
        <f t="shared" si="7"/>
        <v>7.8</v>
      </c>
      <c r="Q61" s="11">
        <f t="shared" si="8"/>
        <v>13.200000000000001</v>
      </c>
      <c r="R61" s="19">
        <f t="shared" si="4"/>
        <v>11.8</v>
      </c>
      <c r="S61" s="19">
        <f t="shared" si="9"/>
        <v>10.549999999999999</v>
      </c>
      <c r="T61" s="19">
        <f t="shared" si="10"/>
        <v>10.175899999999999</v>
      </c>
      <c r="U61" s="19">
        <f t="shared" si="11"/>
        <v>10.614285714285714</v>
      </c>
    </row>
    <row r="62" spans="1:21" x14ac:dyDescent="0.25">
      <c r="A62">
        <v>1961</v>
      </c>
      <c r="B62">
        <v>12.9</v>
      </c>
      <c r="C62">
        <v>13</v>
      </c>
      <c r="D62">
        <v>11.4</v>
      </c>
      <c r="E62">
        <v>8</v>
      </c>
      <c r="F62">
        <v>4.3</v>
      </c>
      <c r="G62">
        <v>2.4</v>
      </c>
      <c r="H62">
        <v>2.4</v>
      </c>
      <c r="I62">
        <v>4.4000000000000004</v>
      </c>
      <c r="J62">
        <v>3.9</v>
      </c>
      <c r="K62">
        <v>7.9</v>
      </c>
      <c r="L62">
        <v>10.7</v>
      </c>
      <c r="M62">
        <v>13.7</v>
      </c>
      <c r="N62" s="11">
        <f t="shared" si="5"/>
        <v>7.8999999999999995</v>
      </c>
      <c r="O62" s="11">
        <f t="shared" si="6"/>
        <v>3.0666666666666664</v>
      </c>
      <c r="P62" s="11">
        <f t="shared" si="7"/>
        <v>7.5</v>
      </c>
      <c r="Q62" s="11">
        <f t="shared" si="8"/>
        <v>14.833333333333334</v>
      </c>
      <c r="R62" s="19">
        <f t="shared" si="4"/>
        <v>13.02</v>
      </c>
      <c r="S62" s="19">
        <f t="shared" si="9"/>
        <v>11.833333333333334</v>
      </c>
      <c r="T62" s="19">
        <f t="shared" si="10"/>
        <v>11.446333333333333</v>
      </c>
      <c r="U62" s="19">
        <f t="shared" si="11"/>
        <v>11.671428571428573</v>
      </c>
    </row>
    <row r="63" spans="1:21" x14ac:dyDescent="0.25">
      <c r="A63">
        <v>1962</v>
      </c>
      <c r="B63">
        <v>15</v>
      </c>
      <c r="C63">
        <v>15.8</v>
      </c>
      <c r="D63">
        <v>13.5</v>
      </c>
      <c r="E63">
        <v>7.1</v>
      </c>
      <c r="F63">
        <v>5.9</v>
      </c>
      <c r="G63">
        <v>4</v>
      </c>
      <c r="H63">
        <v>1.3</v>
      </c>
      <c r="I63">
        <v>4.3</v>
      </c>
      <c r="J63">
        <v>4.9000000000000004</v>
      </c>
      <c r="K63">
        <v>9.4</v>
      </c>
      <c r="L63">
        <v>12.5</v>
      </c>
      <c r="M63">
        <v>14.8</v>
      </c>
      <c r="N63" s="11">
        <f t="shared" si="5"/>
        <v>8.8333333333333339</v>
      </c>
      <c r="O63" s="11">
        <f t="shared" si="6"/>
        <v>3.1999999999999997</v>
      </c>
      <c r="P63" s="11">
        <f t="shared" si="7"/>
        <v>8.9333333333333336</v>
      </c>
      <c r="Q63" s="11">
        <f t="shared" si="8"/>
        <v>15.166666666666666</v>
      </c>
      <c r="R63" s="19">
        <f t="shared" si="4"/>
        <v>13.12</v>
      </c>
      <c r="S63" s="19">
        <f t="shared" si="9"/>
        <v>11.683333333333332</v>
      </c>
      <c r="T63" s="19">
        <f t="shared" si="10"/>
        <v>11.283433333333331</v>
      </c>
      <c r="U63" s="19">
        <f t="shared" si="11"/>
        <v>11.799999999999999</v>
      </c>
    </row>
    <row r="64" spans="1:21" x14ac:dyDescent="0.25">
      <c r="A64">
        <v>1963</v>
      </c>
      <c r="B64">
        <v>13.9</v>
      </c>
      <c r="C64">
        <v>16.8</v>
      </c>
      <c r="D64">
        <v>11</v>
      </c>
      <c r="E64">
        <v>9.1</v>
      </c>
      <c r="F64">
        <v>4.5</v>
      </c>
      <c r="G64">
        <v>2.7</v>
      </c>
      <c r="H64">
        <v>4</v>
      </c>
      <c r="I64">
        <v>3.2</v>
      </c>
      <c r="J64">
        <v>4.2</v>
      </c>
      <c r="K64">
        <v>8.3000000000000007</v>
      </c>
      <c r="L64">
        <v>8.1999999999999993</v>
      </c>
      <c r="M64">
        <v>13</v>
      </c>
      <c r="N64" s="11">
        <f t="shared" si="5"/>
        <v>8.2000000000000011</v>
      </c>
      <c r="O64" s="11">
        <f t="shared" si="6"/>
        <v>3.3000000000000003</v>
      </c>
      <c r="P64" s="11">
        <f t="shared" si="7"/>
        <v>6.8999999999999995</v>
      </c>
      <c r="Q64" s="11">
        <f t="shared" si="8"/>
        <v>13.299999999999999</v>
      </c>
      <c r="R64" s="19">
        <f t="shared" si="4"/>
        <v>11.62</v>
      </c>
      <c r="S64" s="19">
        <f t="shared" si="9"/>
        <v>10.483333333333333</v>
      </c>
      <c r="T64" s="19">
        <f t="shared" si="10"/>
        <v>10.070533333333332</v>
      </c>
      <c r="U64" s="19">
        <f t="shared" si="11"/>
        <v>10.157142857142857</v>
      </c>
    </row>
    <row r="65" spans="1:21" x14ac:dyDescent="0.25">
      <c r="A65">
        <v>1964</v>
      </c>
      <c r="B65">
        <v>15</v>
      </c>
      <c r="C65">
        <v>11.9</v>
      </c>
      <c r="D65">
        <v>10.4</v>
      </c>
      <c r="E65">
        <v>7.8</v>
      </c>
      <c r="F65">
        <v>4.8</v>
      </c>
      <c r="G65">
        <v>2.7</v>
      </c>
      <c r="H65">
        <v>2.4</v>
      </c>
      <c r="I65">
        <v>3.9</v>
      </c>
      <c r="J65">
        <v>4</v>
      </c>
      <c r="K65">
        <v>9.1999999999999993</v>
      </c>
      <c r="L65">
        <v>11</v>
      </c>
      <c r="M65">
        <v>12.5</v>
      </c>
      <c r="N65" s="11">
        <f t="shared" si="5"/>
        <v>7.666666666666667</v>
      </c>
      <c r="O65" s="11">
        <f t="shared" si="6"/>
        <v>3</v>
      </c>
      <c r="P65" s="11">
        <f t="shared" si="7"/>
        <v>8.0666666666666664</v>
      </c>
      <c r="Q65" s="11">
        <f t="shared" si="8"/>
        <v>13.433333333333332</v>
      </c>
      <c r="R65" s="19">
        <f t="shared" si="4"/>
        <v>11.899999999999999</v>
      </c>
      <c r="S65" s="19">
        <f t="shared" si="9"/>
        <v>10.549999999999999</v>
      </c>
      <c r="T65" s="19">
        <f t="shared" si="10"/>
        <v>10.124299999999998</v>
      </c>
      <c r="U65" s="19">
        <f t="shared" si="11"/>
        <v>10.614285714285714</v>
      </c>
    </row>
    <row r="66" spans="1:21" x14ac:dyDescent="0.25">
      <c r="A66">
        <v>1965</v>
      </c>
      <c r="B66">
        <v>15</v>
      </c>
      <c r="C66">
        <v>12.8</v>
      </c>
      <c r="D66">
        <v>12.4</v>
      </c>
      <c r="E66">
        <v>6.8</v>
      </c>
      <c r="F66">
        <v>3.8</v>
      </c>
      <c r="G66">
        <v>5.2</v>
      </c>
      <c r="H66">
        <v>1.6</v>
      </c>
      <c r="I66">
        <v>2.8</v>
      </c>
      <c r="J66">
        <v>4.2</v>
      </c>
      <c r="K66">
        <v>7.3</v>
      </c>
      <c r="L66">
        <v>10.8</v>
      </c>
      <c r="M66">
        <v>11.1</v>
      </c>
      <c r="N66" s="11">
        <f t="shared" si="5"/>
        <v>7.666666666666667</v>
      </c>
      <c r="O66" s="11">
        <f t="shared" si="6"/>
        <v>3.2000000000000006</v>
      </c>
      <c r="P66" s="11">
        <f t="shared" si="7"/>
        <v>7.4333333333333336</v>
      </c>
      <c r="Q66" s="11">
        <f t="shared" si="8"/>
        <v>12.633333333333333</v>
      </c>
      <c r="R66" s="19">
        <f t="shared" si="4"/>
        <v>11.620000000000001</v>
      </c>
      <c r="S66" s="19">
        <f t="shared" si="9"/>
        <v>10.799999999999999</v>
      </c>
      <c r="T66" s="19">
        <f t="shared" si="10"/>
        <v>10.3614</v>
      </c>
      <c r="U66" s="19">
        <f t="shared" si="11"/>
        <v>10.8</v>
      </c>
    </row>
    <row r="67" spans="1:21" x14ac:dyDescent="0.25">
      <c r="A67">
        <v>1966</v>
      </c>
      <c r="B67">
        <v>14.6</v>
      </c>
      <c r="C67">
        <v>12.2</v>
      </c>
      <c r="D67">
        <v>11.6</v>
      </c>
      <c r="E67">
        <v>8.6</v>
      </c>
      <c r="F67">
        <v>6.7</v>
      </c>
      <c r="G67">
        <v>3.5</v>
      </c>
      <c r="H67">
        <v>2.5</v>
      </c>
      <c r="I67">
        <v>3</v>
      </c>
      <c r="J67">
        <v>4.3</v>
      </c>
      <c r="K67">
        <v>6.3</v>
      </c>
      <c r="L67">
        <v>11.6</v>
      </c>
      <c r="M67">
        <v>10.9</v>
      </c>
      <c r="N67" s="11">
        <f t="shared" si="5"/>
        <v>8.9666666666666668</v>
      </c>
      <c r="O67" s="11">
        <f t="shared" si="6"/>
        <v>3</v>
      </c>
      <c r="P67" s="11">
        <f t="shared" si="7"/>
        <v>7.3999999999999995</v>
      </c>
      <c r="Q67" s="11">
        <f t="shared" si="8"/>
        <v>12.566666666666668</v>
      </c>
      <c r="R67" s="19">
        <f t="shared" si="4"/>
        <v>11.440000000000001</v>
      </c>
      <c r="S67" s="19">
        <f t="shared" si="9"/>
        <v>10.516666666666667</v>
      </c>
      <c r="T67" s="19">
        <f t="shared" si="10"/>
        <v>10.065166666666668</v>
      </c>
      <c r="U67" s="19">
        <f t="shared" si="11"/>
        <v>10.671428571428573</v>
      </c>
    </row>
    <row r="68" spans="1:21" x14ac:dyDescent="0.25">
      <c r="A68">
        <v>1967</v>
      </c>
      <c r="B68">
        <v>13.8</v>
      </c>
      <c r="C68">
        <v>13</v>
      </c>
      <c r="D68">
        <v>11.7</v>
      </c>
      <c r="E68">
        <v>7.8</v>
      </c>
      <c r="F68">
        <v>5.9</v>
      </c>
      <c r="G68">
        <v>0.8</v>
      </c>
      <c r="H68">
        <v>2.6</v>
      </c>
      <c r="I68">
        <v>2.2000000000000002</v>
      </c>
      <c r="J68">
        <v>4.7</v>
      </c>
      <c r="K68">
        <v>7.3</v>
      </c>
      <c r="L68">
        <v>10.9</v>
      </c>
      <c r="M68">
        <v>14.3</v>
      </c>
      <c r="N68" s="11">
        <f t="shared" si="5"/>
        <v>8.4666666666666668</v>
      </c>
      <c r="O68" s="11">
        <f t="shared" si="6"/>
        <v>1.8666666666666669</v>
      </c>
      <c r="P68" s="11">
        <f t="shared" si="7"/>
        <v>7.6333333333333329</v>
      </c>
      <c r="Q68" s="11">
        <f t="shared" si="8"/>
        <v>14.233333333333334</v>
      </c>
      <c r="R68" s="19">
        <f t="shared" ref="R68:R122" si="12">IF(AND(ISNUMBER(M68),ISNUMBER(B69),ISNUMBER(C69),ISNUMBER(D69),ISNUMBER(E69)),AVERAGE(M68,B69:E69),"")</f>
        <v>12.46</v>
      </c>
      <c r="S68" s="19">
        <f t="shared" si="9"/>
        <v>11.450000000000001</v>
      </c>
      <c r="T68" s="19">
        <f t="shared" si="10"/>
        <v>10.985600000000002</v>
      </c>
      <c r="U68" s="19">
        <f t="shared" si="11"/>
        <v>11.371428571428572</v>
      </c>
    </row>
    <row r="69" spans="1:21" x14ac:dyDescent="0.25">
      <c r="A69">
        <v>1968</v>
      </c>
      <c r="B69">
        <v>15.3</v>
      </c>
      <c r="C69">
        <v>13.1</v>
      </c>
      <c r="D69">
        <v>11.2</v>
      </c>
      <c r="E69">
        <v>8.4</v>
      </c>
      <c r="F69">
        <v>6.4</v>
      </c>
      <c r="G69">
        <v>3.6</v>
      </c>
      <c r="H69">
        <v>4.3</v>
      </c>
      <c r="I69">
        <v>3.8</v>
      </c>
      <c r="J69">
        <v>5.8</v>
      </c>
      <c r="K69">
        <v>6.6</v>
      </c>
      <c r="L69">
        <v>12.1</v>
      </c>
      <c r="M69">
        <v>11.4</v>
      </c>
      <c r="N69" s="11">
        <f t="shared" si="5"/>
        <v>8.6666666666666661</v>
      </c>
      <c r="O69" s="11">
        <f t="shared" si="6"/>
        <v>3.9</v>
      </c>
      <c r="P69" s="11">
        <f t="shared" si="7"/>
        <v>8.1666666666666661</v>
      </c>
      <c r="Q69" s="11">
        <f t="shared" si="8"/>
        <v>13.200000000000001</v>
      </c>
      <c r="R69" s="19">
        <f t="shared" si="12"/>
        <v>11.780000000000001</v>
      </c>
      <c r="S69" s="19">
        <f t="shared" si="9"/>
        <v>10.866666666666667</v>
      </c>
      <c r="T69" s="19">
        <f t="shared" si="10"/>
        <v>10.389366666666668</v>
      </c>
      <c r="U69" s="19">
        <f t="shared" si="11"/>
        <v>11.042857142857143</v>
      </c>
    </row>
    <row r="70" spans="1:21" x14ac:dyDescent="0.25">
      <c r="A70">
        <v>1969</v>
      </c>
      <c r="B70">
        <v>15.3</v>
      </c>
      <c r="C70">
        <v>12.9</v>
      </c>
      <c r="D70">
        <v>11.3</v>
      </c>
      <c r="E70">
        <v>8</v>
      </c>
      <c r="F70">
        <v>6.3</v>
      </c>
      <c r="G70">
        <v>2.7</v>
      </c>
      <c r="H70">
        <v>3.3</v>
      </c>
      <c r="I70">
        <v>2.5</v>
      </c>
      <c r="J70">
        <v>4.7</v>
      </c>
      <c r="K70">
        <v>5.9</v>
      </c>
      <c r="L70">
        <v>10.6</v>
      </c>
      <c r="M70">
        <v>15</v>
      </c>
      <c r="N70" s="11">
        <f t="shared" si="5"/>
        <v>8.5333333333333332</v>
      </c>
      <c r="O70" s="11">
        <f t="shared" si="6"/>
        <v>2.8333333333333335</v>
      </c>
      <c r="P70" s="11">
        <f t="shared" si="7"/>
        <v>7.0666666666666673</v>
      </c>
      <c r="Q70" s="11">
        <f t="shared" si="8"/>
        <v>14.566666666666668</v>
      </c>
      <c r="R70" s="19">
        <f t="shared" si="12"/>
        <v>12.960000000000003</v>
      </c>
      <c r="S70" s="19">
        <f t="shared" si="9"/>
        <v>11.750000000000002</v>
      </c>
      <c r="T70" s="19">
        <f t="shared" si="10"/>
        <v>11.259800000000002</v>
      </c>
      <c r="U70" s="19">
        <f t="shared" si="11"/>
        <v>11.585714285714285</v>
      </c>
    </row>
    <row r="71" spans="1:21" x14ac:dyDescent="0.25">
      <c r="A71">
        <v>1970</v>
      </c>
      <c r="B71">
        <v>14</v>
      </c>
      <c r="C71">
        <v>14.7</v>
      </c>
      <c r="D71">
        <v>12.1</v>
      </c>
      <c r="E71">
        <v>9</v>
      </c>
      <c r="F71">
        <v>5.7</v>
      </c>
      <c r="G71">
        <v>2.7</v>
      </c>
      <c r="H71">
        <v>3.7</v>
      </c>
      <c r="I71">
        <v>2.6</v>
      </c>
      <c r="J71">
        <v>5.5</v>
      </c>
      <c r="K71">
        <v>7.9</v>
      </c>
      <c r="L71">
        <v>10.7</v>
      </c>
      <c r="M71">
        <v>10.7</v>
      </c>
      <c r="N71" s="11">
        <f t="shared" si="5"/>
        <v>8.9333333333333336</v>
      </c>
      <c r="O71" s="11">
        <f t="shared" si="6"/>
        <v>3</v>
      </c>
      <c r="P71" s="11">
        <f t="shared" si="7"/>
        <v>8.0333333333333332</v>
      </c>
      <c r="Q71" s="11">
        <f t="shared" si="8"/>
        <v>11.299999999999999</v>
      </c>
      <c r="R71" s="19">
        <f t="shared" si="12"/>
        <v>10.220000000000001</v>
      </c>
      <c r="S71" s="19">
        <f t="shared" si="9"/>
        <v>9.35</v>
      </c>
      <c r="T71" s="19">
        <f t="shared" si="10"/>
        <v>8.8468999999999998</v>
      </c>
      <c r="U71" s="19">
        <f t="shared" si="11"/>
        <v>9.5428571428571445</v>
      </c>
    </row>
    <row r="72" spans="1:21" x14ac:dyDescent="0.25">
      <c r="A72">
        <v>1971</v>
      </c>
      <c r="B72">
        <v>10.8</v>
      </c>
      <c r="C72">
        <v>12.4</v>
      </c>
      <c r="D72">
        <v>11</v>
      </c>
      <c r="E72">
        <v>6.2</v>
      </c>
      <c r="F72">
        <v>5</v>
      </c>
      <c r="G72">
        <v>1.1000000000000001</v>
      </c>
      <c r="H72">
        <v>3.6</v>
      </c>
      <c r="I72">
        <v>3.7</v>
      </c>
      <c r="J72">
        <v>5.7</v>
      </c>
      <c r="K72">
        <v>8.8000000000000007</v>
      </c>
      <c r="L72">
        <v>10.5</v>
      </c>
      <c r="M72">
        <v>10.3</v>
      </c>
      <c r="N72" s="11">
        <f t="shared" si="5"/>
        <v>7.3999999999999995</v>
      </c>
      <c r="O72" s="11">
        <f t="shared" si="6"/>
        <v>2.8000000000000003</v>
      </c>
      <c r="P72" s="11">
        <f t="shared" si="7"/>
        <v>8.3333333333333339</v>
      </c>
      <c r="Q72" s="11">
        <f t="shared" si="8"/>
        <v>12.966666666666669</v>
      </c>
      <c r="R72" s="19">
        <f t="shared" si="12"/>
        <v>11.280000000000001</v>
      </c>
      <c r="S72" s="19">
        <f t="shared" si="9"/>
        <v>10.233333333333334</v>
      </c>
      <c r="T72" s="19">
        <f t="shared" si="10"/>
        <v>9.7173333333333343</v>
      </c>
      <c r="U72" s="19">
        <f t="shared" si="11"/>
        <v>10.271428571428572</v>
      </c>
    </row>
    <row r="73" spans="1:21" x14ac:dyDescent="0.25">
      <c r="A73">
        <v>1972</v>
      </c>
      <c r="B73">
        <v>14.9</v>
      </c>
      <c r="C73">
        <v>13.7</v>
      </c>
      <c r="D73">
        <v>9.6999999999999993</v>
      </c>
      <c r="E73">
        <v>7.8</v>
      </c>
      <c r="F73">
        <v>5</v>
      </c>
      <c r="G73">
        <v>2.4</v>
      </c>
      <c r="H73">
        <v>2.6</v>
      </c>
      <c r="I73">
        <v>2.8</v>
      </c>
      <c r="J73">
        <v>4.5999999999999996</v>
      </c>
      <c r="K73">
        <v>5.9</v>
      </c>
      <c r="L73">
        <v>11.3</v>
      </c>
      <c r="M73">
        <v>14.3</v>
      </c>
      <c r="N73" s="11">
        <f t="shared" si="5"/>
        <v>7.5</v>
      </c>
      <c r="O73" s="11">
        <f t="shared" si="6"/>
        <v>2.6</v>
      </c>
      <c r="P73" s="11">
        <f t="shared" si="7"/>
        <v>7.2666666666666666</v>
      </c>
      <c r="Q73" s="11">
        <f t="shared" si="8"/>
        <v>13.833333333333334</v>
      </c>
      <c r="R73" s="19">
        <f t="shared" si="12"/>
        <v>12.34</v>
      </c>
      <c r="S73" s="19">
        <f t="shared" si="9"/>
        <v>11.1</v>
      </c>
      <c r="T73" s="19">
        <f t="shared" si="10"/>
        <v>10.571099999999999</v>
      </c>
      <c r="U73" s="19">
        <f t="shared" si="11"/>
        <v>11.12857142857143</v>
      </c>
    </row>
    <row r="74" spans="1:21" x14ac:dyDescent="0.25">
      <c r="A74">
        <v>1973</v>
      </c>
      <c r="B74">
        <v>13.2</v>
      </c>
      <c r="C74">
        <v>14</v>
      </c>
      <c r="D74">
        <v>12.3</v>
      </c>
      <c r="E74">
        <v>7.9</v>
      </c>
      <c r="F74">
        <v>4.9000000000000004</v>
      </c>
      <c r="G74">
        <v>4.2</v>
      </c>
      <c r="H74">
        <v>0.6</v>
      </c>
      <c r="I74">
        <v>3.6</v>
      </c>
      <c r="J74">
        <v>4.3</v>
      </c>
      <c r="K74">
        <v>7.3</v>
      </c>
      <c r="L74">
        <v>11</v>
      </c>
      <c r="M74">
        <v>13.3</v>
      </c>
      <c r="N74" s="11">
        <f t="shared" si="5"/>
        <v>8.3666666666666671</v>
      </c>
      <c r="O74" s="11">
        <f t="shared" si="6"/>
        <v>2.8000000000000003</v>
      </c>
      <c r="P74" s="11">
        <f t="shared" si="7"/>
        <v>7.5333333333333341</v>
      </c>
      <c r="Q74" s="11">
        <f t="shared" si="8"/>
        <v>12.866666666666667</v>
      </c>
      <c r="R74" s="19">
        <f t="shared" si="12"/>
        <v>11.540000000000001</v>
      </c>
      <c r="S74" s="19">
        <f t="shared" si="9"/>
        <v>10.566666666666668</v>
      </c>
      <c r="T74" s="19">
        <f t="shared" si="10"/>
        <v>10.024866666666668</v>
      </c>
      <c r="U74" s="19">
        <f t="shared" si="11"/>
        <v>10.62857142857143</v>
      </c>
    </row>
    <row r="75" spans="1:21" x14ac:dyDescent="0.25">
      <c r="A75">
        <v>1974</v>
      </c>
      <c r="B75">
        <v>11.9</v>
      </c>
      <c r="C75">
        <v>13.4</v>
      </c>
      <c r="D75">
        <v>11.4</v>
      </c>
      <c r="E75">
        <v>7.7</v>
      </c>
      <c r="F75">
        <v>5.7</v>
      </c>
      <c r="G75">
        <v>2.2000000000000002</v>
      </c>
      <c r="H75">
        <v>1.8</v>
      </c>
      <c r="I75">
        <v>2.7</v>
      </c>
      <c r="J75">
        <v>3.9</v>
      </c>
      <c r="K75">
        <v>8.3000000000000007</v>
      </c>
      <c r="L75">
        <v>9.6999999999999993</v>
      </c>
      <c r="M75">
        <v>12.6</v>
      </c>
      <c r="N75" s="11">
        <f t="shared" si="5"/>
        <v>8.2666666666666675</v>
      </c>
      <c r="O75" s="11">
        <f t="shared" si="6"/>
        <v>2.2333333333333334</v>
      </c>
      <c r="P75" s="11">
        <f t="shared" si="7"/>
        <v>7.3</v>
      </c>
      <c r="Q75" s="11">
        <f t="shared" si="8"/>
        <v>13.933333333333332</v>
      </c>
      <c r="R75" s="19">
        <f t="shared" si="12"/>
        <v>12.239999999999998</v>
      </c>
      <c r="S75" s="19">
        <f t="shared" si="9"/>
        <v>11.083333333333334</v>
      </c>
      <c r="T75" s="19">
        <f t="shared" si="10"/>
        <v>10.528633333333334</v>
      </c>
      <c r="U75" s="19">
        <f t="shared" si="11"/>
        <v>10.885714285714284</v>
      </c>
    </row>
    <row r="76" spans="1:21" x14ac:dyDescent="0.25">
      <c r="A76">
        <v>1975</v>
      </c>
      <c r="B76">
        <v>16.3</v>
      </c>
      <c r="C76">
        <v>12.9</v>
      </c>
      <c r="D76">
        <v>11.4</v>
      </c>
      <c r="E76">
        <v>8</v>
      </c>
      <c r="F76">
        <v>5.3</v>
      </c>
      <c r="G76">
        <v>3.7</v>
      </c>
      <c r="H76">
        <v>0.6</v>
      </c>
      <c r="I76">
        <v>2.1</v>
      </c>
      <c r="J76">
        <v>5.3</v>
      </c>
      <c r="K76">
        <v>6.9</v>
      </c>
      <c r="L76">
        <v>8.6999999999999993</v>
      </c>
      <c r="M76">
        <v>11.1</v>
      </c>
      <c r="N76" s="11">
        <f t="shared" si="5"/>
        <v>8.2333333333333325</v>
      </c>
      <c r="O76" s="11">
        <f t="shared" si="6"/>
        <v>2.1333333333333333</v>
      </c>
      <c r="P76" s="11">
        <f t="shared" si="7"/>
        <v>6.9666666666666659</v>
      </c>
      <c r="Q76" s="11">
        <f t="shared" si="8"/>
        <v>12.5</v>
      </c>
      <c r="R76" s="19">
        <f t="shared" si="12"/>
        <v>10.74</v>
      </c>
      <c r="S76" s="19">
        <f t="shared" si="9"/>
        <v>9.9833333333333343</v>
      </c>
      <c r="T76" s="19">
        <f t="shared" si="10"/>
        <v>9.4157333333333337</v>
      </c>
      <c r="U76" s="19">
        <f t="shared" si="11"/>
        <v>9.7999999999999989</v>
      </c>
    </row>
    <row r="77" spans="1:21" x14ac:dyDescent="0.25">
      <c r="A77">
        <v>1976</v>
      </c>
      <c r="B77">
        <v>12.4</v>
      </c>
      <c r="C77">
        <v>14</v>
      </c>
      <c r="D77">
        <v>9</v>
      </c>
      <c r="E77">
        <v>7.2</v>
      </c>
      <c r="F77">
        <v>6.2</v>
      </c>
      <c r="G77">
        <v>1.1000000000000001</v>
      </c>
      <c r="H77">
        <v>1.7</v>
      </c>
      <c r="I77">
        <v>2.8</v>
      </c>
      <c r="J77">
        <v>5.0999999999999996</v>
      </c>
      <c r="K77">
        <v>7.3</v>
      </c>
      <c r="L77">
        <v>11</v>
      </c>
      <c r="M77">
        <v>12.2</v>
      </c>
      <c r="N77" s="11">
        <f t="shared" si="5"/>
        <v>7.4666666666666659</v>
      </c>
      <c r="O77" s="11">
        <f t="shared" si="6"/>
        <v>1.8666666666666665</v>
      </c>
      <c r="P77" s="11">
        <f t="shared" si="7"/>
        <v>7.8</v>
      </c>
      <c r="Q77" s="11">
        <f t="shared" si="8"/>
        <v>13.266666666666666</v>
      </c>
      <c r="R77" s="19">
        <f t="shared" si="12"/>
        <v>12.24</v>
      </c>
      <c r="S77" s="19">
        <f t="shared" si="9"/>
        <v>11.166666666666666</v>
      </c>
      <c r="T77" s="19">
        <f t="shared" si="10"/>
        <v>10.586166666666665</v>
      </c>
      <c r="U77" s="19">
        <f t="shared" si="11"/>
        <v>11.142857142857142</v>
      </c>
    </row>
    <row r="78" spans="1:21" x14ac:dyDescent="0.25">
      <c r="A78">
        <v>1977</v>
      </c>
      <c r="B78">
        <v>14.1</v>
      </c>
      <c r="C78">
        <v>13.5</v>
      </c>
      <c r="D78">
        <v>11.7</v>
      </c>
      <c r="E78">
        <v>9.6999999999999993</v>
      </c>
      <c r="F78">
        <v>5.8</v>
      </c>
      <c r="G78">
        <v>3.5</v>
      </c>
      <c r="H78">
        <v>2.8</v>
      </c>
      <c r="I78">
        <v>3.4</v>
      </c>
      <c r="J78">
        <v>5.8</v>
      </c>
      <c r="K78">
        <v>8.5</v>
      </c>
      <c r="L78">
        <v>9.3000000000000007</v>
      </c>
      <c r="M78">
        <v>14.4</v>
      </c>
      <c r="N78" s="11">
        <f t="shared" si="5"/>
        <v>9.0666666666666664</v>
      </c>
      <c r="O78" s="11">
        <f t="shared" si="6"/>
        <v>3.2333333333333329</v>
      </c>
      <c r="P78" s="11">
        <f t="shared" si="7"/>
        <v>7.8666666666666671</v>
      </c>
      <c r="Q78" s="11">
        <f t="shared" si="8"/>
        <v>15</v>
      </c>
      <c r="R78" s="19">
        <f t="shared" si="12"/>
        <v>13.079999999999998</v>
      </c>
      <c r="S78" s="19">
        <f t="shared" si="9"/>
        <v>11.983333333333333</v>
      </c>
      <c r="T78" s="19">
        <f t="shared" si="10"/>
        <v>11.389933333333332</v>
      </c>
      <c r="U78" s="19">
        <f t="shared" si="11"/>
        <v>11.599999999999998</v>
      </c>
    </row>
    <row r="79" spans="1:21" x14ac:dyDescent="0.25">
      <c r="A79">
        <v>1978</v>
      </c>
      <c r="B79">
        <v>14.3</v>
      </c>
      <c r="C79">
        <v>16.3</v>
      </c>
      <c r="D79">
        <v>11.8</v>
      </c>
      <c r="E79">
        <v>8.6</v>
      </c>
      <c r="F79">
        <v>6.5</v>
      </c>
      <c r="G79">
        <v>2.7</v>
      </c>
      <c r="H79">
        <v>2.93</v>
      </c>
      <c r="I79">
        <v>2.1</v>
      </c>
      <c r="J79">
        <v>5.7</v>
      </c>
      <c r="K79">
        <v>7</v>
      </c>
      <c r="L79">
        <v>11</v>
      </c>
      <c r="M79">
        <v>14.3</v>
      </c>
      <c r="N79" s="11">
        <f t="shared" si="5"/>
        <v>8.9666666666666668</v>
      </c>
      <c r="O79" s="11">
        <f t="shared" si="6"/>
        <v>2.5766666666666667</v>
      </c>
      <c r="P79" s="11">
        <f t="shared" si="7"/>
        <v>7.8999999999999995</v>
      </c>
      <c r="Q79" s="11">
        <f t="shared" si="8"/>
        <v>15.466666666666667</v>
      </c>
      <c r="R79" s="19">
        <f t="shared" si="12"/>
        <v>13.559999999999999</v>
      </c>
      <c r="S79" s="19">
        <f t="shared" si="9"/>
        <v>12.366666666666667</v>
      </c>
      <c r="T79" s="19">
        <f t="shared" si="10"/>
        <v>11.760366666666668</v>
      </c>
      <c r="U79" s="19">
        <f t="shared" si="11"/>
        <v>12.171428571428573</v>
      </c>
    </row>
    <row r="80" spans="1:21" x14ac:dyDescent="0.25">
      <c r="A80">
        <v>1979</v>
      </c>
      <c r="B80">
        <v>17</v>
      </c>
      <c r="C80">
        <v>15.1</v>
      </c>
      <c r="D80">
        <v>12.4</v>
      </c>
      <c r="E80">
        <v>9</v>
      </c>
      <c r="F80">
        <v>6.4</v>
      </c>
      <c r="G80">
        <v>3.4</v>
      </c>
      <c r="H80">
        <v>3</v>
      </c>
      <c r="I80">
        <v>4.0999999999999996</v>
      </c>
      <c r="J80">
        <v>3.6</v>
      </c>
      <c r="K80">
        <v>7.3</v>
      </c>
      <c r="L80">
        <v>10.199999999999999</v>
      </c>
      <c r="M80">
        <v>13.6</v>
      </c>
      <c r="N80" s="11">
        <f t="shared" si="5"/>
        <v>9.2666666666666657</v>
      </c>
      <c r="O80" s="11">
        <f t="shared" si="6"/>
        <v>3.5</v>
      </c>
      <c r="P80" s="11">
        <f t="shared" si="7"/>
        <v>7.0333333333333341</v>
      </c>
      <c r="Q80" s="11">
        <f t="shared" si="8"/>
        <v>14.766666666666667</v>
      </c>
      <c r="R80" s="19">
        <f t="shared" si="12"/>
        <v>12.540000000000001</v>
      </c>
      <c r="S80" s="19">
        <f t="shared" si="9"/>
        <v>11.216666666666667</v>
      </c>
      <c r="T80" s="19">
        <f t="shared" si="10"/>
        <v>10.597466666666667</v>
      </c>
      <c r="U80" s="19">
        <f t="shared" si="11"/>
        <v>11.071428571428571</v>
      </c>
    </row>
    <row r="81" spans="1:21" x14ac:dyDescent="0.25">
      <c r="A81">
        <v>1980</v>
      </c>
      <c r="B81">
        <v>16.100000000000001</v>
      </c>
      <c r="C81">
        <v>14.6</v>
      </c>
      <c r="D81">
        <v>12.7</v>
      </c>
      <c r="E81">
        <v>5.7</v>
      </c>
      <c r="F81">
        <v>4.5999999999999996</v>
      </c>
      <c r="G81">
        <v>2.8</v>
      </c>
      <c r="H81">
        <v>2.2000000000000002</v>
      </c>
      <c r="I81">
        <v>3.6</v>
      </c>
      <c r="J81">
        <v>5.9</v>
      </c>
      <c r="K81">
        <v>8.4</v>
      </c>
      <c r="L81">
        <v>10.1</v>
      </c>
      <c r="M81">
        <v>13.3</v>
      </c>
      <c r="N81" s="11">
        <f t="shared" si="5"/>
        <v>7.666666666666667</v>
      </c>
      <c r="O81" s="11">
        <f t="shared" si="6"/>
        <v>2.8666666666666667</v>
      </c>
      <c r="P81" s="11">
        <f t="shared" si="7"/>
        <v>8.1333333333333329</v>
      </c>
      <c r="Q81" s="11">
        <f t="shared" si="8"/>
        <v>13.866666666666667</v>
      </c>
      <c r="R81" s="19">
        <f t="shared" si="12"/>
        <v>12.64</v>
      </c>
      <c r="S81" s="19">
        <f t="shared" si="9"/>
        <v>11.416666666666666</v>
      </c>
      <c r="T81" s="19">
        <f t="shared" si="10"/>
        <v>10.784566666666667</v>
      </c>
      <c r="U81" s="19">
        <f t="shared" si="11"/>
        <v>11.228571428571428</v>
      </c>
    </row>
    <row r="82" spans="1:21" x14ac:dyDescent="0.25">
      <c r="A82">
        <v>1981</v>
      </c>
      <c r="B82">
        <v>13.8</v>
      </c>
      <c r="C82">
        <v>14.5</v>
      </c>
      <c r="D82">
        <v>12.5</v>
      </c>
      <c r="E82">
        <v>9.1</v>
      </c>
      <c r="F82">
        <v>5.3</v>
      </c>
      <c r="G82">
        <v>4.3</v>
      </c>
      <c r="H82">
        <v>2.2999999999999998</v>
      </c>
      <c r="I82">
        <v>3.4</v>
      </c>
      <c r="J82">
        <v>3.9</v>
      </c>
      <c r="K82">
        <v>8.1999999999999993</v>
      </c>
      <c r="L82">
        <v>10.4</v>
      </c>
      <c r="M82">
        <v>13.4</v>
      </c>
      <c r="N82" s="11">
        <f t="shared" si="5"/>
        <v>8.9666666666666668</v>
      </c>
      <c r="O82" s="11">
        <f t="shared" si="6"/>
        <v>3.3333333333333335</v>
      </c>
      <c r="P82" s="11">
        <f t="shared" si="7"/>
        <v>7.5</v>
      </c>
      <c r="Q82" s="11">
        <f t="shared" si="8"/>
        <v>14.1</v>
      </c>
      <c r="R82" s="19">
        <f t="shared" si="12"/>
        <v>12.66</v>
      </c>
      <c r="S82" s="19">
        <f t="shared" si="9"/>
        <v>11.716666666666667</v>
      </c>
      <c r="T82" s="19">
        <f t="shared" si="10"/>
        <v>11.071666666666667</v>
      </c>
      <c r="U82" s="19">
        <f t="shared" si="11"/>
        <v>11.528571428571428</v>
      </c>
    </row>
    <row r="83" spans="1:21" x14ac:dyDescent="0.25">
      <c r="A83">
        <v>1982</v>
      </c>
      <c r="B83">
        <v>15.6</v>
      </c>
      <c r="C83">
        <v>13.3</v>
      </c>
      <c r="D83">
        <v>11.6</v>
      </c>
      <c r="E83">
        <v>9.4</v>
      </c>
      <c r="F83">
        <v>7</v>
      </c>
      <c r="G83">
        <v>1</v>
      </c>
      <c r="H83">
        <v>2.1</v>
      </c>
      <c r="I83">
        <v>3.5</v>
      </c>
      <c r="J83">
        <v>5.9</v>
      </c>
      <c r="K83">
        <v>6.6</v>
      </c>
      <c r="L83">
        <v>9.6999999999999993</v>
      </c>
      <c r="M83">
        <v>14.5</v>
      </c>
      <c r="N83" s="11">
        <f t="shared" si="5"/>
        <v>9.3333333333333339</v>
      </c>
      <c r="O83" s="11">
        <f t="shared" si="6"/>
        <v>2.1999999999999997</v>
      </c>
      <c r="P83" s="11">
        <f t="shared" si="7"/>
        <v>7.3999999999999995</v>
      </c>
      <c r="Q83" s="11">
        <f t="shared" si="8"/>
        <v>14.933333333333332</v>
      </c>
      <c r="R83" s="19">
        <f t="shared" si="12"/>
        <v>12.86</v>
      </c>
      <c r="S83" s="19">
        <f t="shared" si="9"/>
        <v>11.466666666666667</v>
      </c>
      <c r="T83" s="19">
        <f t="shared" si="10"/>
        <v>10.808766666666667</v>
      </c>
      <c r="U83" s="19">
        <f t="shared" si="11"/>
        <v>11.214285714285714</v>
      </c>
    </row>
    <row r="84" spans="1:21" x14ac:dyDescent="0.25">
      <c r="A84">
        <v>1983</v>
      </c>
      <c r="B84">
        <v>16</v>
      </c>
      <c r="C84">
        <v>14.3</v>
      </c>
      <c r="D84">
        <v>11.4</v>
      </c>
      <c r="E84">
        <v>8.1</v>
      </c>
      <c r="F84">
        <v>4.5</v>
      </c>
      <c r="G84">
        <v>1.3</v>
      </c>
      <c r="H84">
        <v>1.2</v>
      </c>
      <c r="I84">
        <v>3</v>
      </c>
      <c r="J84">
        <v>3.2</v>
      </c>
      <c r="K84">
        <v>8.6</v>
      </c>
      <c r="L84">
        <v>12.5</v>
      </c>
      <c r="M84">
        <v>16</v>
      </c>
      <c r="N84" s="11">
        <f t="shared" si="5"/>
        <v>8</v>
      </c>
      <c r="O84" s="11">
        <f t="shared" si="6"/>
        <v>1.8333333333333333</v>
      </c>
      <c r="P84" s="11">
        <f t="shared" si="7"/>
        <v>8.1</v>
      </c>
      <c r="Q84" s="11">
        <f t="shared" si="8"/>
        <v>14.466666666666667</v>
      </c>
      <c r="R84" s="19">
        <f t="shared" si="12"/>
        <v>12.419999999999998</v>
      </c>
      <c r="S84" s="19">
        <f t="shared" si="9"/>
        <v>10.949999999999998</v>
      </c>
      <c r="T84" s="19">
        <f t="shared" si="10"/>
        <v>10.279199999999998</v>
      </c>
      <c r="U84" s="19">
        <f t="shared" si="11"/>
        <v>11.171428571428569</v>
      </c>
    </row>
    <row r="85" spans="1:21" x14ac:dyDescent="0.25">
      <c r="A85">
        <v>1984</v>
      </c>
      <c r="B85">
        <v>15</v>
      </c>
      <c r="C85">
        <v>12.4</v>
      </c>
      <c r="D85">
        <v>11.7</v>
      </c>
      <c r="E85">
        <v>7</v>
      </c>
      <c r="F85">
        <v>3.6</v>
      </c>
      <c r="G85">
        <v>1.1000000000000001</v>
      </c>
      <c r="H85">
        <v>0</v>
      </c>
      <c r="I85">
        <v>2.7</v>
      </c>
      <c r="J85">
        <v>5.7</v>
      </c>
      <c r="K85">
        <v>6.3</v>
      </c>
      <c r="L85">
        <v>10.6</v>
      </c>
      <c r="M85">
        <v>13.3</v>
      </c>
      <c r="N85" s="11">
        <f t="shared" si="5"/>
        <v>7.4333333333333336</v>
      </c>
      <c r="O85" s="11">
        <f t="shared" si="6"/>
        <v>1.2666666666666668</v>
      </c>
      <c r="P85" s="11">
        <f t="shared" si="7"/>
        <v>7.5333333333333341</v>
      </c>
      <c r="Q85" s="11">
        <f t="shared" si="8"/>
        <v>13.866666666666667</v>
      </c>
      <c r="R85" s="19">
        <f t="shared" si="12"/>
        <v>11.82</v>
      </c>
      <c r="S85" s="19">
        <f t="shared" si="9"/>
        <v>10.65</v>
      </c>
      <c r="T85" s="19">
        <f t="shared" si="10"/>
        <v>9.9663000000000004</v>
      </c>
      <c r="U85" s="19">
        <f t="shared" si="11"/>
        <v>10.642857142857142</v>
      </c>
    </row>
    <row r="86" spans="1:21" x14ac:dyDescent="0.25">
      <c r="A86">
        <v>1985</v>
      </c>
      <c r="B86">
        <v>14.4</v>
      </c>
      <c r="C86">
        <v>13.9</v>
      </c>
      <c r="D86">
        <v>11.1</v>
      </c>
      <c r="E86">
        <v>6.4</v>
      </c>
      <c r="F86">
        <v>4.8</v>
      </c>
      <c r="G86">
        <v>5.3</v>
      </c>
      <c r="H86">
        <v>3.4</v>
      </c>
      <c r="I86">
        <v>3.7</v>
      </c>
      <c r="J86">
        <v>5.6</v>
      </c>
      <c r="K86">
        <v>7.8</v>
      </c>
      <c r="L86">
        <v>13.5</v>
      </c>
      <c r="M86">
        <v>14.5</v>
      </c>
      <c r="N86" s="11">
        <f t="shared" si="5"/>
        <v>7.4333333333333336</v>
      </c>
      <c r="O86" s="11">
        <f t="shared" si="6"/>
        <v>4.1333333333333329</v>
      </c>
      <c r="P86" s="11">
        <f t="shared" si="7"/>
        <v>8.9666666666666668</v>
      </c>
      <c r="Q86" s="11">
        <f t="shared" si="8"/>
        <v>14.299999999999999</v>
      </c>
      <c r="R86" s="19">
        <f t="shared" si="12"/>
        <v>12.36</v>
      </c>
      <c r="S86" s="19">
        <f t="shared" si="9"/>
        <v>11.25</v>
      </c>
      <c r="T86" s="19">
        <f t="shared" si="10"/>
        <v>10.5534</v>
      </c>
      <c r="U86" s="19">
        <f t="shared" si="11"/>
        <v>11.571428571428571</v>
      </c>
    </row>
    <row r="87" spans="1:21" x14ac:dyDescent="0.25">
      <c r="A87">
        <v>1986</v>
      </c>
      <c r="B87">
        <v>14.3</v>
      </c>
      <c r="C87">
        <v>14.1</v>
      </c>
      <c r="D87">
        <v>10.9</v>
      </c>
      <c r="E87">
        <v>8</v>
      </c>
      <c r="F87">
        <v>5.7</v>
      </c>
      <c r="G87">
        <v>2.8</v>
      </c>
      <c r="H87">
        <v>3.2</v>
      </c>
      <c r="I87">
        <v>3.3</v>
      </c>
      <c r="J87">
        <v>5.2</v>
      </c>
      <c r="K87">
        <v>10.1</v>
      </c>
      <c r="L87">
        <v>9</v>
      </c>
      <c r="M87">
        <v>14.2</v>
      </c>
      <c r="N87" s="11">
        <f t="shared" si="5"/>
        <v>8.1999999999999993</v>
      </c>
      <c r="O87" s="11">
        <f t="shared" si="6"/>
        <v>3.1</v>
      </c>
      <c r="P87" s="11">
        <f t="shared" si="7"/>
        <v>8.1</v>
      </c>
      <c r="Q87" s="11">
        <f t="shared" si="8"/>
        <v>15.333333333333334</v>
      </c>
      <c r="R87" s="19">
        <f t="shared" si="12"/>
        <v>13.440000000000001</v>
      </c>
      <c r="S87" s="19">
        <f t="shared" si="9"/>
        <v>11.9</v>
      </c>
      <c r="T87" s="19">
        <f t="shared" si="10"/>
        <v>11.1905</v>
      </c>
      <c r="U87" s="19">
        <f t="shared" si="11"/>
        <v>11.485714285714286</v>
      </c>
    </row>
    <row r="88" spans="1:21" x14ac:dyDescent="0.25">
      <c r="A88">
        <v>1987</v>
      </c>
      <c r="B88">
        <v>16.3</v>
      </c>
      <c r="C88">
        <v>15.5</v>
      </c>
      <c r="D88">
        <v>12.8</v>
      </c>
      <c r="E88">
        <v>8.4</v>
      </c>
      <c r="F88">
        <v>4.2</v>
      </c>
      <c r="G88">
        <v>4.5</v>
      </c>
      <c r="H88">
        <v>3.9</v>
      </c>
      <c r="I88">
        <v>2.4</v>
      </c>
      <c r="J88">
        <v>5.0999999999999996</v>
      </c>
      <c r="K88">
        <v>8.6999999999999993</v>
      </c>
      <c r="L88">
        <v>12.7</v>
      </c>
      <c r="M88">
        <v>13</v>
      </c>
      <c r="N88" s="11">
        <f t="shared" si="5"/>
        <v>8.4666666666666668</v>
      </c>
      <c r="O88" s="11">
        <f t="shared" si="6"/>
        <v>3.6</v>
      </c>
      <c r="P88" s="11">
        <f t="shared" si="7"/>
        <v>8.8333333333333339</v>
      </c>
      <c r="Q88" s="11">
        <f t="shared" si="8"/>
        <v>14.733333333333334</v>
      </c>
      <c r="R88" s="19">
        <f t="shared" si="12"/>
        <v>12.88</v>
      </c>
      <c r="S88" s="19">
        <f t="shared" si="9"/>
        <v>11.416666666666666</v>
      </c>
      <c r="T88" s="19">
        <f t="shared" si="10"/>
        <v>10.694266666666666</v>
      </c>
      <c r="U88" s="19">
        <f t="shared" si="11"/>
        <v>11.599999999999998</v>
      </c>
    </row>
    <row r="89" spans="1:21" x14ac:dyDescent="0.25">
      <c r="A89">
        <v>1988</v>
      </c>
      <c r="B89">
        <v>14</v>
      </c>
      <c r="C89">
        <v>17.2</v>
      </c>
      <c r="D89">
        <v>12.1</v>
      </c>
      <c r="E89">
        <v>8.1</v>
      </c>
      <c r="F89">
        <v>4.0999999999999996</v>
      </c>
      <c r="G89">
        <v>2.2000000000000002</v>
      </c>
      <c r="H89">
        <v>-0.4</v>
      </c>
      <c r="I89">
        <v>2.6</v>
      </c>
      <c r="J89">
        <v>5.2</v>
      </c>
      <c r="K89">
        <v>6.7</v>
      </c>
      <c r="L89">
        <v>11.5</v>
      </c>
      <c r="M89">
        <v>12.8</v>
      </c>
      <c r="N89" s="11">
        <f t="shared" si="5"/>
        <v>8.1</v>
      </c>
      <c r="O89" s="11">
        <f t="shared" si="6"/>
        <v>1.4666666666666668</v>
      </c>
      <c r="P89" s="11">
        <f t="shared" si="7"/>
        <v>7.8</v>
      </c>
      <c r="Q89" s="11">
        <f t="shared" si="8"/>
        <v>14.699999999999998</v>
      </c>
      <c r="R89" s="19">
        <f t="shared" si="12"/>
        <v>12.599999999999998</v>
      </c>
      <c r="S89" s="19">
        <f t="shared" si="9"/>
        <v>11.216666666666667</v>
      </c>
      <c r="T89" s="19">
        <f t="shared" si="10"/>
        <v>10.481366666666666</v>
      </c>
      <c r="U89" s="19">
        <f t="shared" si="11"/>
        <v>11.257142857142854</v>
      </c>
    </row>
    <row r="90" spans="1:21" x14ac:dyDescent="0.25">
      <c r="A90">
        <v>1989</v>
      </c>
      <c r="B90">
        <v>15.6</v>
      </c>
      <c r="C90">
        <v>15.7</v>
      </c>
      <c r="D90">
        <v>10.8</v>
      </c>
      <c r="E90">
        <v>8.1</v>
      </c>
      <c r="F90">
        <v>4.3</v>
      </c>
      <c r="G90">
        <v>4.8</v>
      </c>
      <c r="H90">
        <v>2.2000000000000002</v>
      </c>
      <c r="I90">
        <v>3.1</v>
      </c>
      <c r="J90">
        <v>5.4</v>
      </c>
      <c r="K90">
        <v>9.3000000000000007</v>
      </c>
      <c r="L90">
        <v>12</v>
      </c>
      <c r="M90">
        <v>12.4</v>
      </c>
      <c r="N90" s="11">
        <f t="shared" si="5"/>
        <v>7.7333333333333334</v>
      </c>
      <c r="O90" s="11">
        <f t="shared" si="6"/>
        <v>3.3666666666666667</v>
      </c>
      <c r="P90" s="11">
        <f t="shared" si="7"/>
        <v>8.9</v>
      </c>
      <c r="Q90" s="11">
        <f t="shared" si="8"/>
        <v>14.766666666666666</v>
      </c>
      <c r="R90" s="19">
        <f t="shared" si="12"/>
        <v>12.540000000000001</v>
      </c>
      <c r="S90" s="19">
        <f t="shared" si="9"/>
        <v>11.316666666666668</v>
      </c>
      <c r="T90" s="19">
        <f t="shared" si="10"/>
        <v>10.568466666666668</v>
      </c>
      <c r="U90" s="19">
        <f t="shared" si="11"/>
        <v>11.414285714285715</v>
      </c>
    </row>
    <row r="91" spans="1:21" x14ac:dyDescent="0.25">
      <c r="A91">
        <v>1990</v>
      </c>
      <c r="B91">
        <v>14.9</v>
      </c>
      <c r="C91">
        <v>17</v>
      </c>
      <c r="D91">
        <v>11.7</v>
      </c>
      <c r="E91">
        <v>6.7</v>
      </c>
      <c r="F91">
        <v>5.2</v>
      </c>
      <c r="G91">
        <v>3.8</v>
      </c>
      <c r="H91">
        <v>3.3</v>
      </c>
      <c r="I91">
        <v>4.7</v>
      </c>
      <c r="J91">
        <v>5.0999999999999996</v>
      </c>
      <c r="K91">
        <v>8.8000000000000007</v>
      </c>
      <c r="L91">
        <v>10.9</v>
      </c>
      <c r="M91">
        <v>13.5</v>
      </c>
      <c r="N91" s="11">
        <f t="shared" si="5"/>
        <v>7.8666666666666663</v>
      </c>
      <c r="O91" s="11">
        <f t="shared" si="6"/>
        <v>3.9333333333333336</v>
      </c>
      <c r="P91" s="11">
        <f t="shared" si="7"/>
        <v>8.2666666666666675</v>
      </c>
      <c r="Q91" s="11">
        <f t="shared" si="8"/>
        <v>14.266666666666666</v>
      </c>
      <c r="R91" s="19">
        <f t="shared" si="12"/>
        <v>12.62</v>
      </c>
      <c r="S91" s="19">
        <f t="shared" si="9"/>
        <v>11.266666666666666</v>
      </c>
      <c r="T91" s="19">
        <f t="shared" si="10"/>
        <v>10.505566666666665</v>
      </c>
      <c r="U91" s="19">
        <f t="shared" si="11"/>
        <v>11.214285714285717</v>
      </c>
    </row>
    <row r="92" spans="1:21" x14ac:dyDescent="0.25">
      <c r="A92">
        <v>1991</v>
      </c>
      <c r="B92">
        <v>14.5</v>
      </c>
      <c r="C92">
        <v>14.8</v>
      </c>
      <c r="D92">
        <v>11.9</v>
      </c>
      <c r="E92">
        <v>8.4</v>
      </c>
      <c r="F92">
        <v>4.5</v>
      </c>
      <c r="G92">
        <v>2.8</v>
      </c>
      <c r="H92">
        <v>1.6</v>
      </c>
      <c r="I92">
        <v>1.6</v>
      </c>
      <c r="J92">
        <v>5.2</v>
      </c>
      <c r="K92">
        <v>7.6</v>
      </c>
      <c r="L92">
        <v>11.6</v>
      </c>
      <c r="M92">
        <v>10.199999999999999</v>
      </c>
      <c r="N92" s="11">
        <f t="shared" si="5"/>
        <v>8.2666666666666675</v>
      </c>
      <c r="O92" s="11">
        <f t="shared" si="6"/>
        <v>2</v>
      </c>
      <c r="P92" s="11">
        <f t="shared" si="7"/>
        <v>8.1333333333333329</v>
      </c>
      <c r="Q92" s="11">
        <f t="shared" si="8"/>
        <v>13.566666666666668</v>
      </c>
      <c r="R92" s="19">
        <f t="shared" si="12"/>
        <v>12.16</v>
      </c>
      <c r="S92" s="19">
        <f t="shared" si="9"/>
        <v>10.733333333333334</v>
      </c>
      <c r="T92" s="19">
        <f t="shared" si="10"/>
        <v>9.9593333333333334</v>
      </c>
      <c r="U92" s="19">
        <f t="shared" si="11"/>
        <v>10.857142857142856</v>
      </c>
    </row>
    <row r="93" spans="1:21" x14ac:dyDescent="0.25">
      <c r="A93">
        <v>1992</v>
      </c>
      <c r="B93">
        <v>17.3</v>
      </c>
      <c r="C93">
        <v>13.2</v>
      </c>
      <c r="D93">
        <v>13</v>
      </c>
      <c r="E93">
        <v>7.1</v>
      </c>
      <c r="F93">
        <v>3.6</v>
      </c>
      <c r="G93">
        <v>1.3</v>
      </c>
      <c r="H93">
        <v>0.1</v>
      </c>
      <c r="I93">
        <v>4</v>
      </c>
      <c r="J93">
        <v>5.5</v>
      </c>
      <c r="K93">
        <v>6.3</v>
      </c>
      <c r="L93">
        <v>11.5</v>
      </c>
      <c r="M93">
        <v>12</v>
      </c>
      <c r="N93" s="11">
        <f t="shared" si="5"/>
        <v>7.9000000000000012</v>
      </c>
      <c r="O93" s="11">
        <f t="shared" si="6"/>
        <v>1.8</v>
      </c>
      <c r="P93" s="11">
        <f t="shared" si="7"/>
        <v>7.7666666666666666</v>
      </c>
      <c r="Q93" s="11">
        <f t="shared" si="8"/>
        <v>13.466666666666667</v>
      </c>
      <c r="R93" s="19">
        <f t="shared" si="12"/>
        <v>12.540000000000001</v>
      </c>
      <c r="S93" s="19">
        <f t="shared" si="9"/>
        <v>11.083333333333334</v>
      </c>
      <c r="T93" s="19">
        <f t="shared" si="10"/>
        <v>10.296433333333335</v>
      </c>
      <c r="U93" s="19">
        <f t="shared" si="11"/>
        <v>11.142857142857142</v>
      </c>
    </row>
    <row r="94" spans="1:21" x14ac:dyDescent="0.25">
      <c r="A94">
        <v>1993</v>
      </c>
      <c r="B94">
        <v>13.9</v>
      </c>
      <c r="C94">
        <v>14.5</v>
      </c>
      <c r="D94">
        <v>12.8</v>
      </c>
      <c r="E94">
        <v>9.5</v>
      </c>
      <c r="F94">
        <v>3.8</v>
      </c>
      <c r="G94">
        <v>3.4</v>
      </c>
      <c r="H94">
        <v>0.9</v>
      </c>
      <c r="I94">
        <v>5.3</v>
      </c>
      <c r="J94">
        <v>5.8</v>
      </c>
      <c r="K94">
        <v>8</v>
      </c>
      <c r="L94">
        <v>9.9</v>
      </c>
      <c r="M94">
        <v>12.7</v>
      </c>
      <c r="N94" s="11">
        <f t="shared" si="5"/>
        <v>8.7000000000000011</v>
      </c>
      <c r="O94" s="11">
        <f t="shared" si="6"/>
        <v>3.1999999999999997</v>
      </c>
      <c r="P94" s="11">
        <f t="shared" si="7"/>
        <v>7.9000000000000012</v>
      </c>
      <c r="Q94" s="11">
        <f t="shared" si="8"/>
        <v>14.333333333333334</v>
      </c>
      <c r="R94" s="19">
        <f t="shared" si="12"/>
        <v>12.66</v>
      </c>
      <c r="S94" s="19">
        <f t="shared" si="9"/>
        <v>11.649999999999999</v>
      </c>
      <c r="T94" s="19">
        <f t="shared" si="10"/>
        <v>10.850199999999999</v>
      </c>
      <c r="U94" s="19">
        <f t="shared" si="11"/>
        <v>11.4</v>
      </c>
    </row>
    <row r="95" spans="1:21" x14ac:dyDescent="0.25">
      <c r="A95">
        <v>1994</v>
      </c>
      <c r="B95">
        <v>16</v>
      </c>
      <c r="C95">
        <v>14.3</v>
      </c>
      <c r="D95">
        <v>12.5</v>
      </c>
      <c r="E95">
        <v>7.8</v>
      </c>
      <c r="F95">
        <v>6.6</v>
      </c>
      <c r="G95">
        <v>4.9000000000000004</v>
      </c>
      <c r="H95">
        <v>2.7</v>
      </c>
      <c r="I95">
        <v>3.7</v>
      </c>
      <c r="J95">
        <v>4.5999999999999996</v>
      </c>
      <c r="K95">
        <v>7.8</v>
      </c>
      <c r="L95">
        <v>10.6</v>
      </c>
      <c r="M95">
        <v>13</v>
      </c>
      <c r="N95" s="11">
        <f t="shared" si="5"/>
        <v>8.9666666666666668</v>
      </c>
      <c r="O95" s="11">
        <f t="shared" si="6"/>
        <v>3.7666666666666671</v>
      </c>
      <c r="P95" s="11">
        <f t="shared" si="7"/>
        <v>7.666666666666667</v>
      </c>
      <c r="Q95" s="11">
        <f t="shared" si="8"/>
        <v>13.166666666666666</v>
      </c>
      <c r="R95" s="19">
        <f t="shared" si="12"/>
        <v>11.879999999999999</v>
      </c>
      <c r="S95" s="19">
        <f t="shared" si="9"/>
        <v>10.799999999999999</v>
      </c>
      <c r="T95" s="19">
        <f t="shared" si="10"/>
        <v>9.9872999999999994</v>
      </c>
      <c r="U95" s="19">
        <f t="shared" si="11"/>
        <v>10.771428571428572</v>
      </c>
    </row>
    <row r="96" spans="1:21" x14ac:dyDescent="0.25">
      <c r="A96">
        <v>1995</v>
      </c>
      <c r="B96">
        <v>12.7</v>
      </c>
      <c r="C96">
        <v>13.8</v>
      </c>
      <c r="D96">
        <v>11.5</v>
      </c>
      <c r="E96">
        <v>8.4</v>
      </c>
      <c r="F96">
        <v>5.4</v>
      </c>
      <c r="G96">
        <v>2.4</v>
      </c>
      <c r="H96">
        <v>0.1</v>
      </c>
      <c r="I96">
        <v>0.7</v>
      </c>
      <c r="J96">
        <v>5.4</v>
      </c>
      <c r="K96">
        <v>8</v>
      </c>
      <c r="L96">
        <v>11.3</v>
      </c>
      <c r="M96">
        <v>17.8</v>
      </c>
      <c r="N96" s="11">
        <f t="shared" si="5"/>
        <v>8.4333333333333318</v>
      </c>
      <c r="O96" s="11">
        <f t="shared" si="6"/>
        <v>1.0666666666666667</v>
      </c>
      <c r="P96" s="11">
        <f t="shared" si="7"/>
        <v>8.2333333333333343</v>
      </c>
      <c r="Q96" s="11">
        <f t="shared" si="8"/>
        <v>15.133333333333333</v>
      </c>
      <c r="R96" s="19">
        <f t="shared" si="12"/>
        <v>13.12</v>
      </c>
      <c r="S96" s="19">
        <f t="shared" si="9"/>
        <v>11.833333333333334</v>
      </c>
      <c r="T96" s="19">
        <f t="shared" si="10"/>
        <v>11.007733333333334</v>
      </c>
      <c r="U96" s="19">
        <f t="shared" si="11"/>
        <v>11.757142857142856</v>
      </c>
    </row>
    <row r="97" spans="1:21" x14ac:dyDescent="0.25">
      <c r="A97">
        <v>1996</v>
      </c>
      <c r="B97">
        <v>12.7</v>
      </c>
      <c r="C97">
        <v>14.9</v>
      </c>
      <c r="D97">
        <v>13.6</v>
      </c>
      <c r="E97">
        <v>6.6</v>
      </c>
      <c r="F97">
        <v>5.4</v>
      </c>
      <c r="G97">
        <v>1</v>
      </c>
      <c r="H97">
        <v>3.2</v>
      </c>
      <c r="I97">
        <v>3.8</v>
      </c>
      <c r="J97">
        <v>6.5</v>
      </c>
      <c r="K97">
        <v>8.5</v>
      </c>
      <c r="L97">
        <v>10.4</v>
      </c>
      <c r="M97">
        <v>13.2</v>
      </c>
      <c r="N97" s="11">
        <f t="shared" ref="N97:N122" si="13">IF(AND(ISNUMBER(D97),ISNUMBER(E97),ISNUMBER(F97)),AVERAGE(D97:F97),"")</f>
        <v>8.5333333333333332</v>
      </c>
      <c r="O97" s="11">
        <f t="shared" ref="O97:O122" si="14">IF(AND(ISNUMBER(G97),ISNUMBER(H97),ISNUMBER(I97)),AVERAGE(G97:I97),"")</f>
        <v>2.6666666666666665</v>
      </c>
      <c r="P97" s="11">
        <f t="shared" ref="P97:P122" si="15">IF(AND(ISNUMBER(J97),ISNUMBER(K97),ISNUMBER(L97)),AVERAGE(J97:L97),"")</f>
        <v>8.4666666666666668</v>
      </c>
      <c r="Q97" s="11">
        <f t="shared" ref="Q97:Q122" si="16">IF(AND(ISNUMBER(M97),ISNUMBER(B98),ISNUMBER(C98)),AVERAGE(M97,B98:C98),"")</f>
        <v>13.433333333333332</v>
      </c>
      <c r="R97" s="19">
        <f t="shared" si="12"/>
        <v>12.7</v>
      </c>
      <c r="S97" s="19">
        <f t="shared" ref="S97:S121" si="17">IF(AND(ISNUMBER(M97),ISNUMBER(B98),ISNUMBER(C98),ISNUMBER(D98),ISNUMBER(E98),ISNUMBER(F98)),AVERAGE(M97,B98:F98),"")</f>
        <v>11.4</v>
      </c>
      <c r="T97" s="19">
        <f t="shared" ref="T97:T121" si="18">S97-(A97-1931)*0.0129</f>
        <v>10.561500000000001</v>
      </c>
      <c r="U97" s="19">
        <f t="shared" ref="U97:U121" si="19">IF(AND(ISNUMBER(M97),ISNUMBER(B98),ISNUMBER(C98),ISNUMBER(D98),ISNUMBER(E98),ISNUMBER(F98),ISNUMBER(L97)),AVERAGE(L97:M97,B98:F98),"")</f>
        <v>11.257142857142858</v>
      </c>
    </row>
    <row r="98" spans="1:21" x14ac:dyDescent="0.25">
      <c r="A98">
        <v>1997</v>
      </c>
      <c r="B98">
        <v>14.5</v>
      </c>
      <c r="C98">
        <v>12.6</v>
      </c>
      <c r="D98">
        <v>13.7</v>
      </c>
      <c r="E98">
        <v>9.5</v>
      </c>
      <c r="F98">
        <v>4.9000000000000004</v>
      </c>
      <c r="G98">
        <v>3.6</v>
      </c>
      <c r="H98">
        <v>3.3</v>
      </c>
      <c r="I98">
        <v>3.6</v>
      </c>
      <c r="J98">
        <v>5.2</v>
      </c>
      <c r="K98">
        <v>6.7</v>
      </c>
      <c r="L98">
        <v>9.1999999999999993</v>
      </c>
      <c r="M98">
        <v>13.1</v>
      </c>
      <c r="N98" s="11">
        <f t="shared" si="13"/>
        <v>9.3666666666666671</v>
      </c>
      <c r="O98" s="11">
        <f t="shared" si="14"/>
        <v>3.5</v>
      </c>
      <c r="P98" s="11">
        <f t="shared" si="15"/>
        <v>7.0333333333333341</v>
      </c>
      <c r="Q98" s="11">
        <f t="shared" si="16"/>
        <v>14.199999999999998</v>
      </c>
      <c r="R98" s="19">
        <f t="shared" si="12"/>
        <v>12.379999999999999</v>
      </c>
      <c r="S98" s="19">
        <f t="shared" si="17"/>
        <v>11.283333333333331</v>
      </c>
      <c r="T98" s="19">
        <f t="shared" si="18"/>
        <v>10.431933333333332</v>
      </c>
      <c r="U98" s="19">
        <f t="shared" si="19"/>
        <v>10.985714285714284</v>
      </c>
    </row>
    <row r="99" spans="1:21" x14ac:dyDescent="0.25">
      <c r="A99">
        <v>1998</v>
      </c>
      <c r="B99">
        <v>13.8</v>
      </c>
      <c r="C99">
        <v>15.7</v>
      </c>
      <c r="D99">
        <v>11.4</v>
      </c>
      <c r="E99">
        <v>7.9</v>
      </c>
      <c r="F99">
        <v>5.8</v>
      </c>
      <c r="G99">
        <v>4.5</v>
      </c>
      <c r="H99">
        <v>4.3</v>
      </c>
      <c r="I99">
        <v>4.3</v>
      </c>
      <c r="J99">
        <v>3.9</v>
      </c>
      <c r="K99">
        <v>9.1</v>
      </c>
      <c r="L99">
        <v>11.6</v>
      </c>
      <c r="M99">
        <v>14.5</v>
      </c>
      <c r="N99" s="11">
        <f t="shared" si="13"/>
        <v>8.3666666666666671</v>
      </c>
      <c r="O99" s="11">
        <f t="shared" si="14"/>
        <v>4.3666666666666671</v>
      </c>
      <c r="P99" s="11">
        <f t="shared" si="15"/>
        <v>8.2000000000000011</v>
      </c>
      <c r="Q99" s="11">
        <f t="shared" si="16"/>
        <v>15.766666666666666</v>
      </c>
      <c r="R99" s="19">
        <f t="shared" si="12"/>
        <v>13.16</v>
      </c>
      <c r="S99" s="19">
        <f t="shared" si="17"/>
        <v>11.75</v>
      </c>
      <c r="T99" s="19">
        <f t="shared" si="18"/>
        <v>10.8857</v>
      </c>
      <c r="U99" s="19">
        <f t="shared" si="19"/>
        <v>11.72857142857143</v>
      </c>
    </row>
    <row r="100" spans="1:21" x14ac:dyDescent="0.25">
      <c r="A100">
        <v>1999</v>
      </c>
      <c r="B100">
        <v>17.399999999999999</v>
      </c>
      <c r="C100">
        <v>15.4</v>
      </c>
      <c r="D100">
        <v>11.1</v>
      </c>
      <c r="E100">
        <v>7.4</v>
      </c>
      <c r="F100">
        <v>4.7</v>
      </c>
      <c r="G100">
        <v>0.7</v>
      </c>
      <c r="H100">
        <v>1.7</v>
      </c>
      <c r="I100">
        <v>3.8</v>
      </c>
      <c r="J100">
        <v>6</v>
      </c>
      <c r="K100">
        <v>9.8000000000000007</v>
      </c>
      <c r="L100">
        <v>12.1</v>
      </c>
      <c r="M100">
        <v>13.9</v>
      </c>
      <c r="N100" s="11">
        <f t="shared" si="13"/>
        <v>7.7333333333333334</v>
      </c>
      <c r="O100" s="11">
        <f t="shared" si="14"/>
        <v>2.0666666666666664</v>
      </c>
      <c r="P100" s="11">
        <f t="shared" si="15"/>
        <v>9.2999999999999989</v>
      </c>
      <c r="Q100" s="11">
        <f t="shared" si="16"/>
        <v>13.733333333333334</v>
      </c>
      <c r="R100" s="19">
        <f t="shared" si="12"/>
        <v>12.120000000000001</v>
      </c>
      <c r="S100" s="19">
        <f t="shared" si="17"/>
        <v>11.016666666666666</v>
      </c>
      <c r="T100" s="19">
        <f t="shared" si="18"/>
        <v>10.139466666666666</v>
      </c>
      <c r="U100" s="19">
        <f t="shared" si="19"/>
        <v>11.171428571428569</v>
      </c>
    </row>
    <row r="101" spans="1:21" x14ac:dyDescent="0.25">
      <c r="A101">
        <v>2000</v>
      </c>
      <c r="B101">
        <v>14.5</v>
      </c>
      <c r="C101">
        <v>12.8</v>
      </c>
      <c r="D101">
        <v>10.3</v>
      </c>
      <c r="E101">
        <v>9.1</v>
      </c>
      <c r="F101">
        <v>5.5</v>
      </c>
      <c r="G101">
        <v>2.8</v>
      </c>
      <c r="H101">
        <v>1.5</v>
      </c>
      <c r="I101">
        <v>3.4</v>
      </c>
      <c r="J101">
        <v>3.4</v>
      </c>
      <c r="K101">
        <v>8.9</v>
      </c>
      <c r="L101">
        <v>9.1999999999999993</v>
      </c>
      <c r="M101">
        <v>12.9</v>
      </c>
      <c r="N101" s="11">
        <f t="shared" si="13"/>
        <v>8.2999999999999989</v>
      </c>
      <c r="O101" s="11">
        <f t="shared" si="14"/>
        <v>2.5666666666666664</v>
      </c>
      <c r="P101" s="11">
        <f t="shared" si="15"/>
        <v>7.166666666666667</v>
      </c>
      <c r="Q101" s="11">
        <f t="shared" si="16"/>
        <v>13.433333333333332</v>
      </c>
      <c r="R101" s="19">
        <f t="shared" si="12"/>
        <v>11.620000000000001</v>
      </c>
      <c r="S101" s="19">
        <f t="shared" si="17"/>
        <v>10.483333333333333</v>
      </c>
      <c r="T101" s="19">
        <f t="shared" si="18"/>
        <v>9.5932333333333322</v>
      </c>
      <c r="U101" s="19">
        <f t="shared" si="19"/>
        <v>10.299999999999999</v>
      </c>
    </row>
    <row r="102" spans="1:21" x14ac:dyDescent="0.25">
      <c r="A102">
        <v>2001</v>
      </c>
      <c r="B102">
        <v>13.2</v>
      </c>
      <c r="C102">
        <v>14.2</v>
      </c>
      <c r="D102">
        <v>10.6</v>
      </c>
      <c r="E102">
        <v>7.2</v>
      </c>
      <c r="F102">
        <v>4.8</v>
      </c>
      <c r="G102">
        <v>3.2</v>
      </c>
      <c r="H102">
        <v>1.3</v>
      </c>
      <c r="I102">
        <v>3.5</v>
      </c>
      <c r="J102">
        <v>5.3</v>
      </c>
      <c r="K102">
        <v>9.8000000000000007</v>
      </c>
      <c r="L102">
        <v>9.8000000000000007</v>
      </c>
      <c r="M102">
        <v>16</v>
      </c>
      <c r="N102" s="11">
        <f t="shared" si="13"/>
        <v>7.5333333333333341</v>
      </c>
      <c r="O102" s="11">
        <f t="shared" si="14"/>
        <v>2.6666666666666665</v>
      </c>
      <c r="P102" s="11">
        <f t="shared" si="15"/>
        <v>8.3000000000000007</v>
      </c>
      <c r="Q102" s="11">
        <f t="shared" si="16"/>
        <v>16.166666666666668</v>
      </c>
      <c r="R102" s="19">
        <f t="shared" si="12"/>
        <v>13.12</v>
      </c>
      <c r="S102" s="19">
        <f t="shared" si="17"/>
        <v>11.85</v>
      </c>
      <c r="T102" s="19">
        <f t="shared" si="18"/>
        <v>10.946999999999999</v>
      </c>
      <c r="U102" s="19">
        <f t="shared" si="19"/>
        <v>11.557142857142855</v>
      </c>
    </row>
    <row r="103" spans="1:21" x14ac:dyDescent="0.25">
      <c r="A103">
        <v>2002</v>
      </c>
      <c r="B103">
        <v>16.3</v>
      </c>
      <c r="C103">
        <v>16.2</v>
      </c>
      <c r="D103">
        <v>9.8000000000000007</v>
      </c>
      <c r="E103">
        <v>7.3</v>
      </c>
      <c r="F103">
        <v>5.5</v>
      </c>
      <c r="G103">
        <v>0.8</v>
      </c>
      <c r="H103">
        <v>3.6</v>
      </c>
      <c r="I103">
        <v>3.8</v>
      </c>
      <c r="J103">
        <v>5</v>
      </c>
      <c r="K103">
        <v>6.4</v>
      </c>
      <c r="L103">
        <v>9.5</v>
      </c>
      <c r="M103">
        <v>13.2</v>
      </c>
      <c r="N103" s="11">
        <f t="shared" si="13"/>
        <v>7.5333333333333341</v>
      </c>
      <c r="O103" s="11">
        <f t="shared" si="14"/>
        <v>2.7333333333333329</v>
      </c>
      <c r="P103" s="11">
        <f t="shared" si="15"/>
        <v>6.9666666666666659</v>
      </c>
      <c r="Q103" s="11">
        <f t="shared" si="16"/>
        <v>13.666666666666666</v>
      </c>
      <c r="R103" s="19">
        <f t="shared" si="12"/>
        <v>12.4</v>
      </c>
      <c r="S103" s="19">
        <f t="shared" si="17"/>
        <v>11.316666666666668</v>
      </c>
      <c r="T103" s="19">
        <f t="shared" si="18"/>
        <v>10.400766666666668</v>
      </c>
      <c r="U103" s="19">
        <f t="shared" si="19"/>
        <v>11.057142857142859</v>
      </c>
    </row>
    <row r="104" spans="1:21" x14ac:dyDescent="0.25">
      <c r="A104">
        <v>2003</v>
      </c>
      <c r="B104">
        <v>14.4</v>
      </c>
      <c r="C104">
        <v>13.4</v>
      </c>
      <c r="D104">
        <v>13.4</v>
      </c>
      <c r="E104">
        <v>7.6</v>
      </c>
      <c r="F104">
        <v>5.9</v>
      </c>
      <c r="G104">
        <v>3.8</v>
      </c>
      <c r="H104">
        <v>2.2000000000000002</v>
      </c>
      <c r="I104">
        <v>3</v>
      </c>
      <c r="J104">
        <v>5.2</v>
      </c>
      <c r="K104">
        <v>8.1</v>
      </c>
      <c r="L104">
        <v>10.6</v>
      </c>
      <c r="M104">
        <v>10.5</v>
      </c>
      <c r="N104" s="11">
        <f t="shared" si="13"/>
        <v>8.9666666666666668</v>
      </c>
      <c r="O104" s="11">
        <f t="shared" si="14"/>
        <v>3</v>
      </c>
      <c r="P104" s="11">
        <f t="shared" si="15"/>
        <v>7.9666666666666659</v>
      </c>
      <c r="Q104" s="11">
        <f t="shared" si="16"/>
        <v>14.533333333333333</v>
      </c>
      <c r="R104" s="19">
        <f t="shared" si="12"/>
        <v>12.7</v>
      </c>
      <c r="S104" s="19">
        <f t="shared" si="17"/>
        <v>11.283333333333333</v>
      </c>
      <c r="T104" s="19">
        <f t="shared" si="18"/>
        <v>10.354533333333332</v>
      </c>
      <c r="U104" s="19">
        <f t="shared" si="19"/>
        <v>11.185714285714287</v>
      </c>
    </row>
    <row r="105" spans="1:21" x14ac:dyDescent="0.25">
      <c r="A105">
        <v>2004</v>
      </c>
      <c r="B105">
        <v>16.600000000000001</v>
      </c>
      <c r="C105">
        <v>16.5</v>
      </c>
      <c r="D105">
        <v>12.4</v>
      </c>
      <c r="E105">
        <v>7.5</v>
      </c>
      <c r="F105">
        <v>4.2</v>
      </c>
      <c r="G105">
        <v>4.0999999999999996</v>
      </c>
      <c r="H105">
        <v>2.8</v>
      </c>
      <c r="I105">
        <v>3.7</v>
      </c>
      <c r="J105">
        <v>5.2</v>
      </c>
      <c r="K105">
        <v>8.1</v>
      </c>
      <c r="L105">
        <v>11.3</v>
      </c>
      <c r="M105">
        <v>12.9</v>
      </c>
      <c r="N105" s="11">
        <f t="shared" si="13"/>
        <v>8.0333333333333332</v>
      </c>
      <c r="O105" s="11">
        <f t="shared" si="14"/>
        <v>3.5333333333333332</v>
      </c>
      <c r="P105" s="11">
        <f t="shared" si="15"/>
        <v>8.2000000000000011</v>
      </c>
      <c r="Q105" s="11">
        <f t="shared" si="16"/>
        <v>14.833333333333334</v>
      </c>
      <c r="R105" s="19">
        <f t="shared" si="12"/>
        <v>12.540000000000001</v>
      </c>
      <c r="S105" s="19">
        <f t="shared" si="17"/>
        <v>11.183333333333335</v>
      </c>
      <c r="T105" s="19">
        <f t="shared" si="18"/>
        <v>10.241633333333336</v>
      </c>
      <c r="U105" s="19">
        <f t="shared" si="19"/>
        <v>11.200000000000003</v>
      </c>
    </row>
    <row r="106" spans="1:21" x14ac:dyDescent="0.25">
      <c r="A106">
        <v>2005</v>
      </c>
      <c r="B106">
        <v>14.1</v>
      </c>
      <c r="C106">
        <v>17.5</v>
      </c>
      <c r="D106">
        <v>11</v>
      </c>
      <c r="E106">
        <v>7.2</v>
      </c>
      <c r="F106">
        <v>4.4000000000000004</v>
      </c>
      <c r="G106">
        <v>1.7</v>
      </c>
      <c r="H106">
        <v>2.2000000000000002</v>
      </c>
      <c r="I106">
        <v>1.9</v>
      </c>
      <c r="J106">
        <v>4.9000000000000004</v>
      </c>
      <c r="K106">
        <v>7.6</v>
      </c>
      <c r="L106">
        <v>11.7</v>
      </c>
      <c r="M106">
        <v>14.1</v>
      </c>
      <c r="N106" s="11">
        <f t="shared" si="13"/>
        <v>7.5333333333333341</v>
      </c>
      <c r="O106" s="11">
        <f t="shared" si="14"/>
        <v>1.9333333333333336</v>
      </c>
      <c r="P106" s="11">
        <f t="shared" si="15"/>
        <v>8.0666666666666664</v>
      </c>
      <c r="Q106" s="11">
        <f t="shared" si="16"/>
        <v>14.833333333333334</v>
      </c>
      <c r="R106" s="19">
        <f t="shared" si="12"/>
        <v>12.86</v>
      </c>
      <c r="S106" s="19">
        <f t="shared" si="17"/>
        <v>11.450000000000001</v>
      </c>
      <c r="T106" s="19">
        <f t="shared" si="18"/>
        <v>10.495400000000002</v>
      </c>
      <c r="U106" s="19">
        <f t="shared" si="19"/>
        <v>11.485714285714286</v>
      </c>
    </row>
    <row r="107" spans="1:21" x14ac:dyDescent="0.25">
      <c r="A107">
        <v>2006</v>
      </c>
      <c r="B107">
        <v>14</v>
      </c>
      <c r="C107">
        <v>16.399999999999999</v>
      </c>
      <c r="D107">
        <v>11.3</v>
      </c>
      <c r="E107">
        <v>8.5</v>
      </c>
      <c r="F107">
        <v>4.4000000000000004</v>
      </c>
      <c r="G107">
        <v>3.6</v>
      </c>
      <c r="H107">
        <v>2.8</v>
      </c>
      <c r="I107">
        <v>3.2</v>
      </c>
      <c r="J107">
        <v>5.2</v>
      </c>
      <c r="K107">
        <v>7.5</v>
      </c>
      <c r="L107">
        <v>10.5</v>
      </c>
      <c r="M107">
        <v>11.9</v>
      </c>
      <c r="N107" s="11">
        <f t="shared" si="13"/>
        <v>8.0666666666666682</v>
      </c>
      <c r="O107" s="11">
        <f t="shared" si="14"/>
        <v>3.2000000000000006</v>
      </c>
      <c r="P107" s="11">
        <f t="shared" si="15"/>
        <v>7.7333333333333334</v>
      </c>
      <c r="Q107" s="11">
        <f t="shared" si="16"/>
        <v>13.566666666666668</v>
      </c>
      <c r="R107" s="19">
        <f t="shared" si="12"/>
        <v>11.98</v>
      </c>
      <c r="S107" s="19">
        <f t="shared" si="17"/>
        <v>10.500000000000002</v>
      </c>
      <c r="T107" s="19">
        <f t="shared" si="18"/>
        <v>9.5325000000000024</v>
      </c>
      <c r="U107" s="19">
        <f t="shared" si="19"/>
        <v>10.5</v>
      </c>
    </row>
    <row r="108" spans="1:21" x14ac:dyDescent="0.25">
      <c r="A108">
        <v>2007</v>
      </c>
      <c r="B108">
        <v>15.3</v>
      </c>
      <c r="C108">
        <v>13.5</v>
      </c>
      <c r="D108">
        <v>11.7</v>
      </c>
      <c r="E108">
        <v>7.5</v>
      </c>
      <c r="F108">
        <v>3.1</v>
      </c>
      <c r="G108">
        <v>1.9</v>
      </c>
      <c r="H108">
        <v>0.9</v>
      </c>
      <c r="I108">
        <v>2.2999999999999998</v>
      </c>
      <c r="J108">
        <v>4.7</v>
      </c>
      <c r="K108">
        <v>7.2</v>
      </c>
      <c r="L108">
        <v>10.6</v>
      </c>
      <c r="M108">
        <v>14.1</v>
      </c>
      <c r="N108" s="11">
        <f t="shared" si="13"/>
        <v>7.4333333333333336</v>
      </c>
      <c r="O108" s="11">
        <f t="shared" si="14"/>
        <v>1.7</v>
      </c>
      <c r="P108" s="11">
        <f t="shared" si="15"/>
        <v>7.5</v>
      </c>
      <c r="Q108" s="11">
        <f t="shared" si="16"/>
        <v>16.133333333333333</v>
      </c>
      <c r="R108" s="19">
        <f t="shared" si="12"/>
        <v>13.919999999999998</v>
      </c>
      <c r="S108" s="19">
        <f t="shared" si="17"/>
        <v>12.25</v>
      </c>
      <c r="T108" s="19">
        <f t="shared" si="18"/>
        <v>11.269600000000001</v>
      </c>
      <c r="U108" s="19">
        <f t="shared" si="19"/>
        <v>12.014285714285716</v>
      </c>
    </row>
    <row r="109" spans="1:21" x14ac:dyDescent="0.25">
      <c r="A109">
        <v>2008</v>
      </c>
      <c r="B109">
        <v>16.2</v>
      </c>
      <c r="C109">
        <v>18.100000000000001</v>
      </c>
      <c r="D109">
        <v>13.2</v>
      </c>
      <c r="E109">
        <v>8</v>
      </c>
      <c r="F109">
        <v>3.9</v>
      </c>
      <c r="G109">
        <v>4</v>
      </c>
      <c r="H109">
        <v>3.3</v>
      </c>
      <c r="I109">
        <v>2.5</v>
      </c>
      <c r="J109">
        <v>5.5</v>
      </c>
      <c r="K109">
        <v>8.5</v>
      </c>
      <c r="L109">
        <v>12.6</v>
      </c>
      <c r="M109">
        <v>16.8</v>
      </c>
      <c r="N109" s="11">
        <f t="shared" si="13"/>
        <v>8.3666666666666654</v>
      </c>
      <c r="O109" s="11">
        <f t="shared" si="14"/>
        <v>3.2666666666666671</v>
      </c>
      <c r="P109" s="11">
        <f t="shared" si="15"/>
        <v>8.8666666666666671</v>
      </c>
      <c r="Q109" s="11">
        <f t="shared" si="16"/>
        <v>15.799999999999999</v>
      </c>
      <c r="R109" s="19">
        <f t="shared" si="12"/>
        <v>13.74</v>
      </c>
      <c r="S109" s="19">
        <f t="shared" si="17"/>
        <v>12.383333333333333</v>
      </c>
      <c r="T109" s="19">
        <f t="shared" si="18"/>
        <v>11.390033333333333</v>
      </c>
      <c r="U109" s="19">
        <f t="shared" si="19"/>
        <v>12.414285714285713</v>
      </c>
    </row>
    <row r="110" spans="1:21" x14ac:dyDescent="0.25">
      <c r="A110">
        <v>2009</v>
      </c>
      <c r="B110">
        <v>16.2</v>
      </c>
      <c r="C110">
        <v>14.4</v>
      </c>
      <c r="D110">
        <v>13.1</v>
      </c>
      <c r="E110">
        <v>8.1999999999999993</v>
      </c>
      <c r="F110">
        <v>5.6</v>
      </c>
      <c r="G110">
        <v>2.4</v>
      </c>
      <c r="H110">
        <v>2.2999999999999998</v>
      </c>
      <c r="I110">
        <v>4.0999999999999996</v>
      </c>
      <c r="J110">
        <v>4.0999999999999996</v>
      </c>
      <c r="K110">
        <v>6.7</v>
      </c>
      <c r="L110">
        <v>7.2</v>
      </c>
      <c r="M110">
        <v>12.3</v>
      </c>
      <c r="N110" s="11">
        <f t="shared" si="13"/>
        <v>8.9666666666666668</v>
      </c>
      <c r="O110" s="11">
        <f t="shared" si="14"/>
        <v>2.9333333333333331</v>
      </c>
      <c r="P110" s="11">
        <f t="shared" si="15"/>
        <v>6</v>
      </c>
      <c r="Q110" s="11">
        <f t="shared" si="16"/>
        <v>13.199999999999998</v>
      </c>
      <c r="R110" s="19">
        <f t="shared" si="12"/>
        <v>12.079999999999998</v>
      </c>
      <c r="S110" s="19">
        <f t="shared" si="17"/>
        <v>10.85</v>
      </c>
      <c r="T110" s="19">
        <f t="shared" si="18"/>
        <v>9.8437999999999999</v>
      </c>
      <c r="U110" s="19">
        <f t="shared" si="19"/>
        <v>10.328571428571427</v>
      </c>
    </row>
    <row r="111" spans="1:21" x14ac:dyDescent="0.25">
      <c r="A111">
        <v>2010</v>
      </c>
      <c r="B111">
        <v>14.1</v>
      </c>
      <c r="C111">
        <v>13.2</v>
      </c>
      <c r="D111">
        <v>13</v>
      </c>
      <c r="E111">
        <v>7.8</v>
      </c>
      <c r="F111">
        <v>4.7</v>
      </c>
      <c r="G111">
        <v>4.0999999999999996</v>
      </c>
      <c r="H111">
        <v>1.8</v>
      </c>
      <c r="I111">
        <v>1.6</v>
      </c>
      <c r="J111">
        <v>5.2</v>
      </c>
      <c r="K111">
        <v>8.3000000000000007</v>
      </c>
      <c r="L111">
        <v>11.3</v>
      </c>
      <c r="M111">
        <v>12.7</v>
      </c>
      <c r="N111" s="11">
        <f t="shared" si="13"/>
        <v>8.5</v>
      </c>
      <c r="O111" s="11">
        <f t="shared" si="14"/>
        <v>2.5</v>
      </c>
      <c r="P111" s="11">
        <f t="shared" si="15"/>
        <v>8.2666666666666675</v>
      </c>
      <c r="Q111" s="11">
        <f t="shared" si="16"/>
        <v>14.6</v>
      </c>
      <c r="R111" s="19">
        <f t="shared" si="12"/>
        <v>12.62</v>
      </c>
      <c r="S111" s="19">
        <f t="shared" si="17"/>
        <v>11.399999999999999</v>
      </c>
      <c r="T111" s="19">
        <f t="shared" si="18"/>
        <v>10.380899999999999</v>
      </c>
      <c r="U111" s="19">
        <f t="shared" si="19"/>
        <v>11.385714285714284</v>
      </c>
    </row>
    <row r="112" spans="1:21" x14ac:dyDescent="0.25">
      <c r="A112">
        <v>2011</v>
      </c>
      <c r="B112">
        <v>15.3</v>
      </c>
      <c r="C112">
        <v>15.8</v>
      </c>
      <c r="D112">
        <v>11.3</v>
      </c>
      <c r="E112">
        <v>8</v>
      </c>
      <c r="F112">
        <v>5.3</v>
      </c>
      <c r="G112">
        <v>3.1</v>
      </c>
      <c r="H112">
        <v>2.2999999999999998</v>
      </c>
      <c r="I112">
        <v>2.4</v>
      </c>
      <c r="J112">
        <v>5.7</v>
      </c>
      <c r="K112">
        <v>8.3000000000000007</v>
      </c>
      <c r="L112">
        <v>11.4</v>
      </c>
      <c r="M112">
        <v>16.100000000000001</v>
      </c>
      <c r="N112" s="11">
        <f t="shared" si="13"/>
        <v>8.2000000000000011</v>
      </c>
      <c r="O112" s="11">
        <f t="shared" si="14"/>
        <v>2.6</v>
      </c>
      <c r="P112" s="11">
        <f t="shared" si="15"/>
        <v>8.4666666666666668</v>
      </c>
      <c r="Q112" s="11">
        <f t="shared" si="16"/>
        <v>15.833333333333336</v>
      </c>
      <c r="R112" s="19">
        <f t="shared" si="12"/>
        <v>13.540000000000001</v>
      </c>
      <c r="S112" s="19">
        <f t="shared" si="17"/>
        <v>12.200000000000001</v>
      </c>
      <c r="T112" s="19">
        <f t="shared" si="18"/>
        <v>11.168000000000001</v>
      </c>
      <c r="U112" s="19">
        <f t="shared" si="19"/>
        <v>12.085714285714285</v>
      </c>
    </row>
    <row r="113" spans="1:22" x14ac:dyDescent="0.25">
      <c r="A113">
        <v>2012</v>
      </c>
      <c r="B113">
        <v>17.8</v>
      </c>
      <c r="C113">
        <v>13.6</v>
      </c>
      <c r="D113">
        <v>12.2</v>
      </c>
      <c r="E113">
        <v>8</v>
      </c>
      <c r="F113">
        <v>5.5</v>
      </c>
      <c r="G113">
        <v>2.8</v>
      </c>
      <c r="H113">
        <v>2</v>
      </c>
      <c r="I113">
        <v>3.3</v>
      </c>
      <c r="J113">
        <v>6.5</v>
      </c>
      <c r="K113">
        <v>8.5</v>
      </c>
      <c r="L113">
        <v>12.1</v>
      </c>
      <c r="M113">
        <v>10.6</v>
      </c>
      <c r="N113" s="11">
        <f t="shared" si="13"/>
        <v>8.5666666666666664</v>
      </c>
      <c r="O113" s="11">
        <f t="shared" si="14"/>
        <v>2.6999999999999997</v>
      </c>
      <c r="P113" s="11">
        <f t="shared" si="15"/>
        <v>9.0333333333333332</v>
      </c>
      <c r="Q113" s="11">
        <f t="shared" si="16"/>
        <v>14.866666666666665</v>
      </c>
      <c r="R113" s="19">
        <f t="shared" si="12"/>
        <v>12.819999999999999</v>
      </c>
      <c r="S113" s="19">
        <f t="shared" si="17"/>
        <v>11.733333333333333</v>
      </c>
      <c r="T113" s="19">
        <f t="shared" si="18"/>
        <v>10.688433333333332</v>
      </c>
      <c r="U113" s="19">
        <f t="shared" si="19"/>
        <v>11.785714285714286</v>
      </c>
    </row>
    <row r="114" spans="1:22" x14ac:dyDescent="0.25">
      <c r="A114">
        <v>2013</v>
      </c>
      <c r="B114">
        <v>18.8</v>
      </c>
      <c r="C114">
        <v>15.2</v>
      </c>
      <c r="D114">
        <v>11</v>
      </c>
      <c r="E114">
        <v>8.5</v>
      </c>
      <c r="F114">
        <v>6.3</v>
      </c>
      <c r="G114">
        <v>4.7</v>
      </c>
      <c r="H114">
        <v>2.1</v>
      </c>
      <c r="I114">
        <v>2.5</v>
      </c>
      <c r="J114">
        <v>4</v>
      </c>
      <c r="K114">
        <v>9.1999999999999993</v>
      </c>
      <c r="L114">
        <v>11.1</v>
      </c>
      <c r="M114">
        <v>15.5</v>
      </c>
      <c r="N114" s="11">
        <f t="shared" si="13"/>
        <v>8.6</v>
      </c>
      <c r="O114" s="11">
        <f t="shared" si="14"/>
        <v>3.1</v>
      </c>
      <c r="P114" s="11">
        <f t="shared" si="15"/>
        <v>8.1</v>
      </c>
      <c r="Q114" s="11">
        <f t="shared" si="16"/>
        <v>15.033333333333331</v>
      </c>
      <c r="R114" s="19">
        <f t="shared" si="12"/>
        <v>12.839999999999998</v>
      </c>
      <c r="S114" s="19">
        <f t="shared" si="17"/>
        <v>11.633333333333331</v>
      </c>
      <c r="T114" s="19">
        <f t="shared" si="18"/>
        <v>10.575533333333331</v>
      </c>
      <c r="U114" s="19">
        <f t="shared" si="19"/>
        <v>11.557142857142855</v>
      </c>
    </row>
    <row r="115" spans="1:22" x14ac:dyDescent="0.25">
      <c r="A115">
        <v>2014</v>
      </c>
      <c r="B115">
        <v>15.4</v>
      </c>
      <c r="C115">
        <v>14.2</v>
      </c>
      <c r="D115">
        <v>11.6</v>
      </c>
      <c r="E115">
        <v>7.5</v>
      </c>
      <c r="F115">
        <v>5.6</v>
      </c>
      <c r="G115">
        <v>2.8</v>
      </c>
      <c r="H115">
        <v>3.2</v>
      </c>
      <c r="I115">
        <v>4.5</v>
      </c>
      <c r="J115">
        <v>5.2</v>
      </c>
      <c r="K115">
        <v>8.1</v>
      </c>
      <c r="L115">
        <v>9.6999999999999993</v>
      </c>
      <c r="M115">
        <v>13.1</v>
      </c>
      <c r="N115" s="11">
        <f t="shared" si="13"/>
        <v>8.2333333333333343</v>
      </c>
      <c r="O115" s="11">
        <f t="shared" si="14"/>
        <v>3.5</v>
      </c>
      <c r="P115" s="11">
        <f t="shared" si="15"/>
        <v>7.666666666666667</v>
      </c>
      <c r="Q115" s="11">
        <f t="shared" si="16"/>
        <v>15</v>
      </c>
      <c r="R115" s="19">
        <f t="shared" si="12"/>
        <v>13.559999999999999</v>
      </c>
      <c r="S115" s="19">
        <f t="shared" si="17"/>
        <v>12.366666666666667</v>
      </c>
      <c r="T115" s="19">
        <f t="shared" si="18"/>
        <v>11.295966666666667</v>
      </c>
      <c r="U115" s="19">
        <f t="shared" si="19"/>
        <v>11.985714285714286</v>
      </c>
    </row>
    <row r="116" spans="1:22" x14ac:dyDescent="0.25">
      <c r="A116">
        <v>2015</v>
      </c>
      <c r="B116">
        <v>16.5</v>
      </c>
      <c r="C116">
        <v>15.4</v>
      </c>
      <c r="D116">
        <v>13.4</v>
      </c>
      <c r="E116">
        <v>9.4</v>
      </c>
      <c r="F116">
        <v>6.4</v>
      </c>
      <c r="G116">
        <v>4.0999999999999996</v>
      </c>
      <c r="H116">
        <v>3.2</v>
      </c>
      <c r="I116">
        <v>3.9</v>
      </c>
      <c r="J116">
        <v>4.5</v>
      </c>
      <c r="K116">
        <v>6.5</v>
      </c>
      <c r="L116">
        <v>11.2</v>
      </c>
      <c r="M116">
        <v>13.7</v>
      </c>
      <c r="N116" s="11">
        <f t="shared" si="13"/>
        <v>9.7333333333333343</v>
      </c>
      <c r="O116" s="11">
        <f t="shared" si="14"/>
        <v>3.7333333333333329</v>
      </c>
      <c r="P116" s="11">
        <f t="shared" si="15"/>
        <v>7.3999999999999995</v>
      </c>
      <c r="Q116" s="11">
        <f t="shared" si="16"/>
        <v>15.5</v>
      </c>
      <c r="R116" s="19">
        <f t="shared" si="12"/>
        <v>13.420000000000002</v>
      </c>
      <c r="S116" s="19">
        <f t="shared" si="17"/>
        <v>12.216666666666669</v>
      </c>
      <c r="T116" s="19">
        <f t="shared" si="18"/>
        <v>11.133066666666668</v>
      </c>
      <c r="U116" s="19">
        <f t="shared" si="19"/>
        <v>12.071428571428573</v>
      </c>
    </row>
    <row r="117" spans="1:22" x14ac:dyDescent="0.25">
      <c r="A117">
        <v>2016</v>
      </c>
      <c r="B117">
        <v>17.3</v>
      </c>
      <c r="C117">
        <v>15.5</v>
      </c>
      <c r="D117">
        <v>13.7</v>
      </c>
      <c r="E117">
        <v>6.9</v>
      </c>
      <c r="F117">
        <v>6.2</v>
      </c>
      <c r="G117">
        <v>2.2999999999999998</v>
      </c>
      <c r="H117">
        <v>1.9</v>
      </c>
      <c r="I117">
        <v>4.2</v>
      </c>
      <c r="J117">
        <v>6.6</v>
      </c>
      <c r="K117">
        <v>8.5</v>
      </c>
      <c r="L117">
        <v>12.6</v>
      </c>
      <c r="M117">
        <v>13.8</v>
      </c>
      <c r="N117" s="11">
        <f t="shared" si="13"/>
        <v>8.9333333333333336</v>
      </c>
      <c r="O117" s="11">
        <f t="shared" si="14"/>
        <v>2.7999999999999994</v>
      </c>
      <c r="P117" s="11">
        <f t="shared" si="15"/>
        <v>9.2333333333333325</v>
      </c>
      <c r="Q117" s="11">
        <f t="shared" si="16"/>
        <v>15</v>
      </c>
      <c r="R117" s="19">
        <f>IF(AND(ISNUMBER(M117),ISNUMBER(B118),ISNUMBER(C118),ISNUMBER(D118),ISNUMBER(E118)),AVERAGE(M117,B118:E118),"")</f>
        <v>13.319999999999999</v>
      </c>
      <c r="S117" s="19">
        <f t="shared" si="17"/>
        <v>12</v>
      </c>
      <c r="T117" s="19">
        <f t="shared" si="18"/>
        <v>10.903499999999999</v>
      </c>
      <c r="U117" s="19">
        <f t="shared" si="19"/>
        <v>12.085714285714285</v>
      </c>
    </row>
    <row r="118" spans="1:22" x14ac:dyDescent="0.25">
      <c r="A118">
        <v>2017</v>
      </c>
      <c r="B118">
        <v>15</v>
      </c>
      <c r="C118">
        <v>16.2</v>
      </c>
      <c r="D118">
        <v>12</v>
      </c>
      <c r="E118">
        <v>9.6</v>
      </c>
      <c r="F118">
        <v>5.4</v>
      </c>
      <c r="G118">
        <v>3.8</v>
      </c>
      <c r="H118">
        <v>1.4</v>
      </c>
      <c r="I118">
        <v>3.2</v>
      </c>
      <c r="J118">
        <v>5.3</v>
      </c>
      <c r="K118">
        <v>6.9</v>
      </c>
      <c r="L118">
        <v>11.2</v>
      </c>
      <c r="M118">
        <v>14.3</v>
      </c>
      <c r="N118" s="11">
        <f t="shared" si="13"/>
        <v>9</v>
      </c>
      <c r="O118" s="11">
        <f t="shared" si="14"/>
        <v>2.7999999999999994</v>
      </c>
      <c r="P118" s="11">
        <f t="shared" si="15"/>
        <v>7.8</v>
      </c>
      <c r="Q118" s="11">
        <f t="shared" si="16"/>
        <v>15.366666666666667</v>
      </c>
      <c r="R118" s="19">
        <f t="shared" si="12"/>
        <v>12.959999999999999</v>
      </c>
      <c r="S118" s="19">
        <f t="shared" si="17"/>
        <v>11.75</v>
      </c>
      <c r="T118" s="19">
        <f t="shared" si="18"/>
        <v>10.640599999999999</v>
      </c>
      <c r="U118" s="19">
        <f t="shared" si="19"/>
        <v>11.671428571428569</v>
      </c>
    </row>
    <row r="119" spans="1:22" x14ac:dyDescent="0.25">
      <c r="A119">
        <v>2018</v>
      </c>
      <c r="B119">
        <v>15.8</v>
      </c>
      <c r="C119">
        <v>16</v>
      </c>
      <c r="D119">
        <v>11.1</v>
      </c>
      <c r="E119">
        <v>7.6</v>
      </c>
      <c r="F119">
        <v>5.7</v>
      </c>
      <c r="G119">
        <v>2.2999999999999998</v>
      </c>
      <c r="H119">
        <v>1.3</v>
      </c>
      <c r="I119">
        <v>3.8</v>
      </c>
      <c r="J119">
        <v>5.4</v>
      </c>
      <c r="K119">
        <v>7.1</v>
      </c>
      <c r="L119">
        <v>10.4</v>
      </c>
      <c r="M119">
        <v>14.1</v>
      </c>
      <c r="N119" s="11">
        <f t="shared" si="13"/>
        <v>8.1333333333333329</v>
      </c>
      <c r="O119" s="11">
        <f t="shared" si="14"/>
        <v>2.4666666666666663</v>
      </c>
      <c r="P119" s="11">
        <f t="shared" si="15"/>
        <v>7.6333333333333329</v>
      </c>
      <c r="Q119" s="11">
        <f t="shared" si="16"/>
        <v>14.766666666666666</v>
      </c>
      <c r="R119" s="19">
        <f t="shared" si="12"/>
        <v>13.079999999999998</v>
      </c>
      <c r="S119" s="19">
        <f t="shared" si="17"/>
        <v>11.83333333333333</v>
      </c>
      <c r="T119" s="19">
        <f t="shared" si="18"/>
        <v>10.711033333333329</v>
      </c>
      <c r="U119" s="19">
        <f t="shared" si="19"/>
        <v>11.628571428571428</v>
      </c>
    </row>
    <row r="120" spans="1:22" x14ac:dyDescent="0.25">
      <c r="A120">
        <v>2019</v>
      </c>
      <c r="B120">
        <v>14.1</v>
      </c>
      <c r="C120">
        <v>16.100000000000001</v>
      </c>
      <c r="D120">
        <v>11.8</v>
      </c>
      <c r="E120">
        <v>9.3000000000000007</v>
      </c>
      <c r="F120">
        <v>5.6</v>
      </c>
      <c r="G120">
        <v>3.8</v>
      </c>
      <c r="H120">
        <v>2.1</v>
      </c>
      <c r="I120">
        <v>3.5</v>
      </c>
      <c r="J120">
        <v>5.2</v>
      </c>
      <c r="K120">
        <v>7.3</v>
      </c>
      <c r="L120">
        <v>11.2</v>
      </c>
      <c r="M120">
        <v>13.7</v>
      </c>
      <c r="N120">
        <f t="shared" si="13"/>
        <v>8.9</v>
      </c>
      <c r="O120">
        <f t="shared" si="14"/>
        <v>3.1333333333333333</v>
      </c>
      <c r="P120">
        <f t="shared" si="15"/>
        <v>7.8999999999999995</v>
      </c>
      <c r="Q120">
        <f t="shared" si="16"/>
        <v>14.799999999999999</v>
      </c>
      <c r="R120" s="19">
        <f t="shared" si="12"/>
        <v>13.559999999999999</v>
      </c>
      <c r="S120" s="19">
        <f t="shared" si="17"/>
        <v>12.266666666666666</v>
      </c>
      <c r="T120" s="19">
        <f t="shared" si="18"/>
        <v>11.131466666666666</v>
      </c>
      <c r="U120" s="19">
        <f t="shared" si="19"/>
        <v>12.114285714285712</v>
      </c>
    </row>
    <row r="121" spans="1:22" x14ac:dyDescent="0.25">
      <c r="A121">
        <v>2020</v>
      </c>
      <c r="B121">
        <v>16</v>
      </c>
      <c r="C121">
        <v>14.7</v>
      </c>
      <c r="D121">
        <v>14.1</v>
      </c>
      <c r="E121">
        <v>9.3000000000000007</v>
      </c>
      <c r="F121">
        <v>5.8</v>
      </c>
      <c r="G121">
        <v>2.8</v>
      </c>
      <c r="H121">
        <v>1.2</v>
      </c>
      <c r="I121">
        <v>3.5</v>
      </c>
      <c r="J121">
        <v>5.9</v>
      </c>
      <c r="K121">
        <v>8.5</v>
      </c>
      <c r="L121">
        <v>12.3</v>
      </c>
      <c r="M121">
        <v>13.2</v>
      </c>
      <c r="N121">
        <f t="shared" si="13"/>
        <v>9.7333333333333325</v>
      </c>
      <c r="O121">
        <f t="shared" si="14"/>
        <v>2.5</v>
      </c>
      <c r="P121">
        <f t="shared" si="15"/>
        <v>8.9</v>
      </c>
      <c r="Q121">
        <f>IF(AND(ISNUMBER(M121),ISNUMBER(B122),ISNUMBER(C122)),AVERAGE(M121,B122:C122),"")</f>
        <v>15.133333333333333</v>
      </c>
      <c r="R121" s="19">
        <f t="shared" si="12"/>
        <v>14.079999999999998</v>
      </c>
      <c r="S121" s="19">
        <f t="shared" si="17"/>
        <v>12.783333333333331</v>
      </c>
      <c r="T121" s="19">
        <f t="shared" si="18"/>
        <v>11.635233333333332</v>
      </c>
      <c r="U121" s="19">
        <f t="shared" si="19"/>
        <v>12.714285714285714</v>
      </c>
    </row>
    <row r="122" spans="1:22" x14ac:dyDescent="0.25">
      <c r="A122">
        <v>2021</v>
      </c>
      <c r="B122">
        <v>15.2</v>
      </c>
      <c r="C122">
        <v>17</v>
      </c>
      <c r="D122">
        <v>14.4</v>
      </c>
      <c r="E122">
        <v>10.6</v>
      </c>
      <c r="F122">
        <v>6.3</v>
      </c>
      <c r="G122">
        <v>3.4</v>
      </c>
      <c r="H122">
        <v>3.6</v>
      </c>
      <c r="I122">
        <v>3.4</v>
      </c>
      <c r="J122">
        <v>6.3</v>
      </c>
      <c r="K122">
        <v>8.9</v>
      </c>
      <c r="L122">
        <v>12.3</v>
      </c>
      <c r="M122">
        <v>16.100000000000001</v>
      </c>
      <c r="N122">
        <f t="shared" si="13"/>
        <v>10.433333333333334</v>
      </c>
      <c r="O122">
        <f t="shared" si="14"/>
        <v>3.4666666666666668</v>
      </c>
      <c r="P122">
        <f t="shared" si="15"/>
        <v>9.1666666666666661</v>
      </c>
      <c r="Q122" t="str">
        <f t="shared" si="16"/>
        <v/>
      </c>
      <c r="R122" s="19" t="str">
        <f t="shared" si="12"/>
        <v/>
      </c>
      <c r="S122" s="19"/>
      <c r="T122" s="19"/>
      <c r="U122" s="19"/>
    </row>
    <row r="123" spans="1:22" x14ac:dyDescent="0.25">
      <c r="A123">
        <v>2022</v>
      </c>
      <c r="B123">
        <v>15.6</v>
      </c>
      <c r="N123" t="str">
        <f>IF(AND(ISNUMBER(D123),ISNUMBER(E123),ISNUMBER(F123)),AVERAGE(D123:F123),"")</f>
        <v/>
      </c>
      <c r="O123" t="str">
        <f>IF(AND(ISNUMBER(G123),ISNUMBER(H123),ISNUMBER(I123)),AVERAGE(G123:I123),"")</f>
        <v/>
      </c>
      <c r="P123" t="str">
        <f>IF(AND(ISNUMBER(J123),ISNUMBER(K123),ISNUMBER(L123)),AVERAGE(J123:L123),"")</f>
        <v/>
      </c>
      <c r="Q123" t="str">
        <f>IF(AND(ISNUMBER(M123),ISNUMBER(B124),ISNUMBER(C124)),AVERAGE(M123,B124:C124),"")</f>
        <v/>
      </c>
    </row>
    <row r="125" spans="1:22" x14ac:dyDescent="0.25">
      <c r="A125" s="14"/>
      <c r="B125" s="14" t="s">
        <v>1</v>
      </c>
      <c r="C125" s="14" t="s">
        <v>2</v>
      </c>
      <c r="D125" s="14" t="s">
        <v>3</v>
      </c>
      <c r="E125" s="14" t="s">
        <v>4</v>
      </c>
      <c r="F125" s="14" t="s">
        <v>5</v>
      </c>
      <c r="G125" s="14" t="s">
        <v>6</v>
      </c>
      <c r="H125" s="14" t="s">
        <v>7</v>
      </c>
      <c r="I125" s="14" t="s">
        <v>8</v>
      </c>
      <c r="J125" s="14" t="s">
        <v>9</v>
      </c>
      <c r="K125" s="14" t="s">
        <v>10</v>
      </c>
      <c r="L125" s="14" t="s">
        <v>11</v>
      </c>
      <c r="M125" s="14" t="s">
        <v>12</v>
      </c>
      <c r="N125" s="14" t="s">
        <v>13</v>
      </c>
      <c r="O125" s="14" t="s">
        <v>14</v>
      </c>
      <c r="P125" s="14" t="s">
        <v>15</v>
      </c>
      <c r="Q125" s="14" t="s">
        <v>16</v>
      </c>
      <c r="R125" s="14" t="s">
        <v>36</v>
      </c>
      <c r="S125" s="20" t="s">
        <v>37</v>
      </c>
      <c r="T125" s="20" t="s">
        <v>43</v>
      </c>
      <c r="U125" s="14" t="s">
        <v>40</v>
      </c>
    </row>
    <row r="126" spans="1:22" x14ac:dyDescent="0.25">
      <c r="A126" s="14" t="s">
        <v>38</v>
      </c>
      <c r="B126" s="15">
        <f>AVERAGE(B2:B123)</f>
        <v>14.649999999999991</v>
      </c>
      <c r="C126" s="15">
        <f t="shared" ref="C126:M126" si="20">AVERAGE(C2:C123)</f>
        <v>14.270329670329671</v>
      </c>
      <c r="D126" s="15">
        <f t="shared" si="20"/>
        <v>11.715384615384615</v>
      </c>
      <c r="E126" s="15">
        <f t="shared" si="20"/>
        <v>8.1934065934065945</v>
      </c>
      <c r="F126" s="15">
        <f t="shared" si="20"/>
        <v>5.2626373626373626</v>
      </c>
      <c r="G126" s="15">
        <f>AVERAGE(G2:G123)</f>
        <v>3.0989010989011003</v>
      </c>
      <c r="H126" s="15">
        <f t="shared" si="20"/>
        <v>2.334395604395604</v>
      </c>
      <c r="I126" s="15">
        <f t="shared" si="20"/>
        <v>3.1439560439560434</v>
      </c>
      <c r="J126" s="15">
        <f t="shared" si="20"/>
        <v>4.9450549450549435</v>
      </c>
      <c r="K126" s="15">
        <f t="shared" si="20"/>
        <v>7.7373626373626374</v>
      </c>
      <c r="L126" s="15">
        <f t="shared" si="20"/>
        <v>10.687912087912093</v>
      </c>
      <c r="M126" s="15">
        <f t="shared" si="20"/>
        <v>13.138461538461534</v>
      </c>
      <c r="N126" s="15">
        <f t="shared" ref="N126:U126" si="21">AVERAGE(N2:N123)</f>
        <v>8.3904761904761891</v>
      </c>
      <c r="O126" s="15">
        <f t="shared" si="21"/>
        <v>2.8590842490842481</v>
      </c>
      <c r="P126" s="15">
        <f t="shared" si="21"/>
        <v>7.7901098901098882</v>
      </c>
      <c r="Q126" s="15">
        <f t="shared" si="21"/>
        <v>14.005925925925924</v>
      </c>
      <c r="R126" s="15">
        <f t="shared" si="21"/>
        <v>12.384888888888888</v>
      </c>
      <c r="S126" s="15">
        <f t="shared" si="21"/>
        <v>11.198518518518521</v>
      </c>
      <c r="T126" s="15">
        <f t="shared" ref="T126" si="22">AVERAGE(T2:T123)</f>
        <v>10.624468518518521</v>
      </c>
      <c r="U126" s="15">
        <f t="shared" si="21"/>
        <v>11.12301587301587</v>
      </c>
    </row>
    <row r="127" spans="1:22" x14ac:dyDescent="0.25">
      <c r="A127" s="14" t="s">
        <v>39</v>
      </c>
      <c r="B127" s="15">
        <f>STDEV(B2:B123)</f>
        <v>1.544611334875043</v>
      </c>
      <c r="C127" s="15">
        <f t="shared" ref="C127:M127" si="23">STDEV(C2:C123)</f>
        <v>1.4968481334304578</v>
      </c>
      <c r="D127" s="15">
        <f t="shared" si="23"/>
        <v>1.194610403894955</v>
      </c>
      <c r="E127" s="15">
        <f t="shared" si="23"/>
        <v>0.9637660156100929</v>
      </c>
      <c r="F127" s="15">
        <f t="shared" si="23"/>
        <v>0.89388643967395154</v>
      </c>
      <c r="G127" s="15">
        <f t="shared" si="23"/>
        <v>1.1543631727295927</v>
      </c>
      <c r="H127" s="15">
        <f t="shared" si="23"/>
        <v>1.0552474262688976</v>
      </c>
      <c r="I127" s="15">
        <f t="shared" si="23"/>
        <v>0.9022451984058445</v>
      </c>
      <c r="J127" s="15">
        <f t="shared" si="23"/>
        <v>0.79739349497998779</v>
      </c>
      <c r="K127" s="15">
        <f t="shared" si="23"/>
        <v>1.0815265293554412</v>
      </c>
      <c r="L127" s="15">
        <f t="shared" si="23"/>
        <v>1.2689308855038215</v>
      </c>
      <c r="M127" s="15">
        <f t="shared" si="23"/>
        <v>1.7216122437845389</v>
      </c>
      <c r="N127" s="15">
        <f t="shared" ref="N127:U127" si="24">STDEV(N2:N123)</f>
        <v>0.64849846919654675</v>
      </c>
      <c r="O127" s="15">
        <f t="shared" si="24"/>
        <v>0.68753434319322626</v>
      </c>
      <c r="P127" s="15">
        <f t="shared" si="24"/>
        <v>0.69716346818392205</v>
      </c>
      <c r="Q127" s="15">
        <f t="shared" si="24"/>
        <v>1.1522174006113624</v>
      </c>
      <c r="R127" s="15">
        <f t="shared" si="24"/>
        <v>0.83999631412305897</v>
      </c>
      <c r="S127" s="15">
        <f t="shared" si="24"/>
        <v>0.73598704581891994</v>
      </c>
      <c r="T127" s="15">
        <f t="shared" ref="T127" si="25">STDEV(T2:T123)</f>
        <v>0.65429030373151731</v>
      </c>
      <c r="U127" s="15">
        <f t="shared" si="24"/>
        <v>0.70090089910858233</v>
      </c>
    </row>
    <row r="128" spans="1:22" x14ac:dyDescent="0.25">
      <c r="A128" s="14" t="s">
        <v>42</v>
      </c>
      <c r="B128" s="15" cm="1">
        <f t="array" ref="B128">(SUMPRODUCT(B32:B121-AVERAGE(B32:B122), B33:B122-AVERAGE(B32:B122))/COUNT(B32:B122))/_xlfn.VAR.P(B32:B122)</f>
        <v>7.3701792032798169E-2</v>
      </c>
      <c r="C128" s="15" cm="1">
        <f t="array" ref="C128">(SUMPRODUCT(C32:C121-AVERAGE(C32:C122), C33:C122-AVERAGE(C32:C122))/COUNT(C32:C122))/_xlfn.VAR.P(C32:C122)</f>
        <v>0.19850311169887802</v>
      </c>
      <c r="D128" s="15" cm="1">
        <f t="array" ref="D128">(SUMPRODUCT(D32:D121-AVERAGE(D32:D122), D33:D122-AVERAGE(D32:D122))/COUNT(D32:D122))/_xlfn.VAR.P(D32:D122)</f>
        <v>0.2068137528160221</v>
      </c>
      <c r="E128" s="15" cm="1">
        <f t="array" ref="E128">(SUMPRODUCT(E32:E121-AVERAGE(E32:E122), E33:E122-AVERAGE(E32:E122))/COUNT(E32:E122))/_xlfn.VAR.P(E32:E122)</f>
        <v>5.1458931170890506E-3</v>
      </c>
      <c r="F128" s="15" cm="1">
        <f t="array" ref="F128">(SUMPRODUCT(F32:F121-AVERAGE(F32:F122), F33:F122-AVERAGE(F32:F122))/COUNT(F32:F122))/_xlfn.VAR.P(F32:F122)</f>
        <v>0.20829558425828404</v>
      </c>
      <c r="G128" s="15" cm="1">
        <f t="array" ref="G128">(SUMPRODUCT(G32:G121-AVERAGE(G32:G122), G33:G122-AVERAGE(G32:G122))/COUNT(G32:G122))/_xlfn.VAR.P(G32:G122)</f>
        <v>-0.11275086633858532</v>
      </c>
      <c r="H128" s="15" cm="1">
        <f t="array" ref="H128">(SUMPRODUCT(H32:H121-AVERAGE(H32:H122), H33:H122-AVERAGE(H32:H122))/COUNT(H32:H122))/_xlfn.VAR.P(H32:H122)</f>
        <v>4.0520331935801152E-2</v>
      </c>
      <c r="I128" s="15" cm="1">
        <f t="array" ref="I128">(SUMPRODUCT(I32:I121-AVERAGE(I32:I122), I33:I122-AVERAGE(I32:I122))/COUNT(I32:I122))/_xlfn.VAR.P(I32:I122)</f>
        <v>0.10394480546451988</v>
      </c>
      <c r="J128" s="15" cm="1">
        <f t="array" ref="J128">(SUMPRODUCT(J32:J121-AVERAGE(J32:J122), J33:J122-AVERAGE(J32:J122))/COUNT(J32:J122))/_xlfn.VAR.P(J32:J122)</f>
        <v>-4.403931354291328E-2</v>
      </c>
      <c r="K128" s="15" cm="1">
        <f t="array" ref="K128">(SUMPRODUCT(K32:K121-AVERAGE(K32:K122), K33:K122-AVERAGE(K32:K122))/COUNT(K32:K122))/_xlfn.VAR.P(K32:K122)</f>
        <v>-3.2828004744028597E-2</v>
      </c>
      <c r="L128" s="15" cm="1">
        <f t="array" ref="L128">(SUMPRODUCT(L32:L121-AVERAGE(L32:L122), L33:L122-AVERAGE(L32:L122))/COUNT(L32:L122))/_xlfn.VAR.P(L32:L122)</f>
        <v>-3.7510240570431327E-2</v>
      </c>
      <c r="M128" s="15" cm="1">
        <f t="array" ref="M128">(SUMPRODUCT(M32:M121-AVERAGE(M32:M122), M33:M122-AVERAGE(M32:M122))/COUNT(M32:M122))/_xlfn.VAR.P(M32:M122)</f>
        <v>6.5121825593819835E-2</v>
      </c>
      <c r="N128" s="15" cm="1">
        <f t="array" ref="N128">(SUMPRODUCT(N32:N121-AVERAGE(N32:N122), N33:N122-AVERAGE(N32:N122))/COUNT(N32:N122))/_xlfn.VAR.P(N32:N122)</f>
        <v>0.28342152119264485</v>
      </c>
      <c r="O128" s="15" cm="1">
        <f t="array" ref="O128">(SUMPRODUCT(O32:O121-AVERAGE(O32:O122), O33:O122-AVERAGE(O32:O122))/COUNT(O32:O122))/_xlfn.VAR.P(O32:O122)</f>
        <v>3.0238525623749513E-3</v>
      </c>
      <c r="P128" s="15" cm="1">
        <f t="array" ref="P128">(SUMPRODUCT(P32:P121-AVERAGE(P32:P122), P33:P122-AVERAGE(P32:P122))/COUNT(P32:P122))/_xlfn.VAR.P(P32:P122)</f>
        <v>-0.10522367160994425</v>
      </c>
      <c r="Q128" s="15" cm="1">
        <f t="array" ref="Q128">(SUMPRODUCT(Q32:Q120-AVERAGE(Q32:Q121), Q33:Q121-AVERAGE(Q32:Q121))/COUNT(Q32:Q121))/_xlfn.VAR.P(Q32:Q121)</f>
        <v>0.25439143824274096</v>
      </c>
      <c r="R128" s="15" cm="1">
        <f t="array" ref="R128">(SUMPRODUCT(R32:R120-AVERAGE(R32:R121), R33:R121-AVERAGE(R32:R121))/COUNT(R32:R121))/_xlfn.VAR.P(R32:R121)</f>
        <v>0.31421208074092688</v>
      </c>
      <c r="S128" s="21" cm="1">
        <f t="array" ref="S128">(SUMPRODUCT(S32:S120-AVERAGE(S32:S121), S33:S121-AVERAGE(S32:S121))/COUNT(S32:S121))/_xlfn.VAR.P(S32:S121)</f>
        <v>0.28374527355471796</v>
      </c>
      <c r="T128" s="21" cm="1">
        <f t="array" ref="T128">(SUMPRODUCT(T32:T120-AVERAGE(T32:T121), T33:T121-AVERAGE(T32:T121))/COUNT(T32:T121))/_xlfn.VAR.P(T32:T121)</f>
        <v>0.10951572410787486</v>
      </c>
      <c r="U128" s="15" cm="1">
        <f t="array" ref="U128">(SUMPRODUCT(U32:U120-AVERAGE(U32:U121), U33:U121-AVERAGE(U32:U121))/COUNT(U32:U121))/_xlfn.VAR.P(U32:U121)</f>
        <v>0.2463081350010535</v>
      </c>
      <c r="V128" s="14" t="s">
        <v>42</v>
      </c>
    </row>
    <row r="129" spans="20:20" x14ac:dyDescent="0.25">
      <c r="T129" s="14" t="s">
        <v>44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BBBD-ECE0-4423-80CB-FA1599DEB174}">
  <dimension ref="A1:Q124"/>
  <sheetViews>
    <sheetView zoomScale="70" zoomScaleNormal="70" workbookViewId="0"/>
  </sheetViews>
  <sheetFormatPr defaultColWidth="11" defaultRowHeight="15" x14ac:dyDescent="0.25"/>
  <cols>
    <col min="2" max="4" width="5" bestFit="1" customWidth="1"/>
    <col min="5" max="5" width="4" bestFit="1" customWidth="1"/>
    <col min="6" max="6" width="4.5703125" bestFit="1" customWidth="1"/>
    <col min="7" max="7" width="4" bestFit="1" customWidth="1"/>
    <col min="8" max="8" width="5" bestFit="1" customWidth="1"/>
    <col min="9" max="10" width="4" bestFit="1" customWidth="1"/>
    <col min="11" max="13" width="5" bestFit="1" customWidth="1"/>
    <col min="14" max="17" width="12" bestFit="1" customWidth="1"/>
  </cols>
  <sheetData>
    <row r="1" spans="1:17" x14ac:dyDescent="0.25">
      <c r="A1" s="1" t="s">
        <v>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</row>
    <row r="3" spans="1:17" x14ac:dyDescent="0.25">
      <c r="A3">
        <v>1902</v>
      </c>
      <c r="N3" s="11" t="str">
        <f t="shared" ref="N3:N31" si="0">IF(AND(ISNUMBER(D3),ISNUMBER(E3),ISNUMBER(F3)),AVERAGE(D3:F3),"")</f>
        <v/>
      </c>
      <c r="O3" s="11" t="str">
        <f t="shared" ref="O3:O31" si="1">IF(AND(ISNUMBER(G3),ISNUMBER(H3),ISNUMBER(I3)),AVERAGE(G3:I3),"")</f>
        <v/>
      </c>
      <c r="P3" s="11" t="str">
        <f t="shared" ref="P3:P31" si="2">IF(AND(ISNUMBER(J3),ISNUMBER(K3),ISNUMBER(L3)),AVERAGE(J3:L3),"")</f>
        <v/>
      </c>
      <c r="Q3" s="11" t="str">
        <f t="shared" ref="Q3:Q31" si="3">IF(AND(ISNUMBER(M3),ISNUMBER(B4),ISNUMBER(C4)),AVERAGE(M3,B4:C4),"")</f>
        <v/>
      </c>
    </row>
    <row r="4" spans="1:17" x14ac:dyDescent="0.25">
      <c r="A4">
        <v>1903</v>
      </c>
      <c r="N4" s="11" t="str">
        <f t="shared" si="0"/>
        <v/>
      </c>
      <c r="O4" s="11" t="str">
        <f t="shared" si="1"/>
        <v/>
      </c>
      <c r="P4" s="11" t="str">
        <f t="shared" si="2"/>
        <v/>
      </c>
      <c r="Q4" s="11" t="str">
        <f t="shared" si="3"/>
        <v/>
      </c>
    </row>
    <row r="5" spans="1:17" x14ac:dyDescent="0.25">
      <c r="A5">
        <v>1904</v>
      </c>
      <c r="N5" s="11" t="str">
        <f t="shared" si="0"/>
        <v/>
      </c>
      <c r="O5" s="11" t="str">
        <f t="shared" si="1"/>
        <v/>
      </c>
      <c r="P5" s="11" t="str">
        <f t="shared" si="2"/>
        <v/>
      </c>
      <c r="Q5" s="11" t="str">
        <f t="shared" si="3"/>
        <v/>
      </c>
    </row>
    <row r="6" spans="1:17" x14ac:dyDescent="0.25">
      <c r="A6">
        <v>1905</v>
      </c>
      <c r="N6" s="11" t="str">
        <f t="shared" si="0"/>
        <v/>
      </c>
      <c r="O6" s="11" t="str">
        <f t="shared" si="1"/>
        <v/>
      </c>
      <c r="P6" s="11" t="str">
        <f t="shared" si="2"/>
        <v/>
      </c>
      <c r="Q6" s="11" t="str">
        <f t="shared" si="3"/>
        <v/>
      </c>
    </row>
    <row r="7" spans="1:17" x14ac:dyDescent="0.25">
      <c r="A7">
        <v>1906</v>
      </c>
      <c r="N7" s="11" t="str">
        <f t="shared" si="0"/>
        <v/>
      </c>
      <c r="O7" s="11" t="str">
        <f t="shared" si="1"/>
        <v/>
      </c>
      <c r="P7" s="11" t="str">
        <f t="shared" si="2"/>
        <v/>
      </c>
      <c r="Q7" s="11" t="str">
        <f t="shared" si="3"/>
        <v/>
      </c>
    </row>
    <row r="8" spans="1:17" x14ac:dyDescent="0.25">
      <c r="A8">
        <v>1907</v>
      </c>
      <c r="N8" s="11" t="str">
        <f t="shared" si="0"/>
        <v/>
      </c>
      <c r="O8" s="11" t="str">
        <f t="shared" si="1"/>
        <v/>
      </c>
      <c r="P8" s="11" t="str">
        <f t="shared" si="2"/>
        <v/>
      </c>
      <c r="Q8" s="11" t="str">
        <f t="shared" si="3"/>
        <v/>
      </c>
    </row>
    <row r="9" spans="1:17" x14ac:dyDescent="0.25">
      <c r="A9">
        <v>1908</v>
      </c>
      <c r="N9" s="11" t="str">
        <f t="shared" si="0"/>
        <v/>
      </c>
      <c r="O9" s="11" t="str">
        <f t="shared" si="1"/>
        <v/>
      </c>
      <c r="P9" s="11" t="str">
        <f t="shared" si="2"/>
        <v/>
      </c>
      <c r="Q9" s="11" t="str">
        <f t="shared" si="3"/>
        <v/>
      </c>
    </row>
    <row r="10" spans="1:17" x14ac:dyDescent="0.25">
      <c r="A10">
        <v>1909</v>
      </c>
      <c r="N10" s="11" t="str">
        <f t="shared" si="0"/>
        <v/>
      </c>
      <c r="O10" s="11" t="str">
        <f t="shared" si="1"/>
        <v/>
      </c>
      <c r="P10" s="11" t="str">
        <f t="shared" si="2"/>
        <v/>
      </c>
      <c r="Q10" s="11" t="str">
        <f t="shared" si="3"/>
        <v/>
      </c>
    </row>
    <row r="11" spans="1:17" x14ac:dyDescent="0.25">
      <c r="A11">
        <v>1910</v>
      </c>
      <c r="N11" s="11" t="str">
        <f t="shared" si="0"/>
        <v/>
      </c>
      <c r="O11" s="11" t="str">
        <f t="shared" si="1"/>
        <v/>
      </c>
      <c r="P11" s="11" t="str">
        <f t="shared" si="2"/>
        <v/>
      </c>
      <c r="Q11" s="11" t="str">
        <f t="shared" si="3"/>
        <v/>
      </c>
    </row>
    <row r="12" spans="1:17" x14ac:dyDescent="0.25">
      <c r="A12">
        <v>1911</v>
      </c>
      <c r="N12" s="11" t="str">
        <f t="shared" si="0"/>
        <v/>
      </c>
      <c r="O12" s="11" t="str">
        <f t="shared" si="1"/>
        <v/>
      </c>
      <c r="P12" s="11" t="str">
        <f t="shared" si="2"/>
        <v/>
      </c>
      <c r="Q12" s="11" t="str">
        <f t="shared" si="3"/>
        <v/>
      </c>
    </row>
    <row r="13" spans="1:17" x14ac:dyDescent="0.25">
      <c r="A13">
        <v>1912</v>
      </c>
      <c r="N13" s="11" t="str">
        <f t="shared" si="0"/>
        <v/>
      </c>
      <c r="O13" s="11" t="str">
        <f t="shared" si="1"/>
        <v/>
      </c>
      <c r="P13" s="11" t="str">
        <f t="shared" si="2"/>
        <v/>
      </c>
      <c r="Q13" s="11" t="str">
        <f t="shared" si="3"/>
        <v/>
      </c>
    </row>
    <row r="14" spans="1:17" x14ac:dyDescent="0.25">
      <c r="A14">
        <v>1913</v>
      </c>
      <c r="N14" s="11" t="str">
        <f t="shared" si="0"/>
        <v/>
      </c>
      <c r="O14" s="11" t="str">
        <f t="shared" si="1"/>
        <v/>
      </c>
      <c r="P14" s="11" t="str">
        <f t="shared" si="2"/>
        <v/>
      </c>
      <c r="Q14" s="11" t="str">
        <f t="shared" si="3"/>
        <v/>
      </c>
    </row>
    <row r="15" spans="1:17" x14ac:dyDescent="0.25">
      <c r="A15">
        <v>1914</v>
      </c>
      <c r="N15" s="11" t="str">
        <f t="shared" si="0"/>
        <v/>
      </c>
      <c r="O15" s="11" t="str">
        <f t="shared" si="1"/>
        <v/>
      </c>
      <c r="P15" s="11" t="str">
        <f t="shared" si="2"/>
        <v/>
      </c>
      <c r="Q15" s="11" t="str">
        <f t="shared" si="3"/>
        <v/>
      </c>
    </row>
    <row r="16" spans="1:17" x14ac:dyDescent="0.25">
      <c r="A16">
        <v>1915</v>
      </c>
      <c r="N16" s="11" t="str">
        <f t="shared" si="0"/>
        <v/>
      </c>
      <c r="O16" s="11" t="str">
        <f t="shared" si="1"/>
        <v/>
      </c>
      <c r="P16" s="11" t="str">
        <f t="shared" si="2"/>
        <v/>
      </c>
      <c r="Q16" s="11" t="str">
        <f t="shared" si="3"/>
        <v/>
      </c>
    </row>
    <row r="17" spans="1:17" x14ac:dyDescent="0.25">
      <c r="A17">
        <v>1916</v>
      </c>
      <c r="N17" s="11" t="str">
        <f t="shared" si="0"/>
        <v/>
      </c>
      <c r="O17" s="11" t="str">
        <f t="shared" si="1"/>
        <v/>
      </c>
      <c r="P17" s="11" t="str">
        <f t="shared" si="2"/>
        <v/>
      </c>
      <c r="Q17" s="11" t="str">
        <f t="shared" si="3"/>
        <v/>
      </c>
    </row>
    <row r="18" spans="1:17" x14ac:dyDescent="0.25">
      <c r="A18">
        <v>1917</v>
      </c>
      <c r="N18" s="11" t="str">
        <f t="shared" si="0"/>
        <v/>
      </c>
      <c r="O18" s="11" t="str">
        <f t="shared" si="1"/>
        <v/>
      </c>
      <c r="P18" s="11" t="str">
        <f t="shared" si="2"/>
        <v/>
      </c>
      <c r="Q18" s="11" t="str">
        <f t="shared" si="3"/>
        <v/>
      </c>
    </row>
    <row r="19" spans="1:17" x14ac:dyDescent="0.25">
      <c r="A19">
        <v>1918</v>
      </c>
      <c r="N19" s="11" t="str">
        <f t="shared" si="0"/>
        <v/>
      </c>
      <c r="O19" s="11" t="str">
        <f t="shared" si="1"/>
        <v/>
      </c>
      <c r="P19" s="11" t="str">
        <f t="shared" si="2"/>
        <v/>
      </c>
      <c r="Q19" s="11" t="str">
        <f t="shared" si="3"/>
        <v/>
      </c>
    </row>
    <row r="20" spans="1:17" x14ac:dyDescent="0.25">
      <c r="A20">
        <v>1919</v>
      </c>
      <c r="N20" s="11" t="str">
        <f t="shared" si="0"/>
        <v/>
      </c>
      <c r="O20" s="11" t="str">
        <f t="shared" si="1"/>
        <v/>
      </c>
      <c r="P20" s="11" t="str">
        <f t="shared" si="2"/>
        <v/>
      </c>
      <c r="Q20" s="11" t="str">
        <f t="shared" si="3"/>
        <v/>
      </c>
    </row>
    <row r="21" spans="1:17" x14ac:dyDescent="0.25">
      <c r="A21">
        <v>1920</v>
      </c>
      <c r="N21" s="11" t="str">
        <f t="shared" si="0"/>
        <v/>
      </c>
      <c r="O21" s="11" t="str">
        <f t="shared" si="1"/>
        <v/>
      </c>
      <c r="P21" s="11" t="str">
        <f t="shared" si="2"/>
        <v/>
      </c>
      <c r="Q21" s="11" t="str">
        <f t="shared" si="3"/>
        <v/>
      </c>
    </row>
    <row r="22" spans="1:17" x14ac:dyDescent="0.25">
      <c r="A22">
        <v>1921</v>
      </c>
      <c r="N22" s="11" t="str">
        <f t="shared" si="0"/>
        <v/>
      </c>
      <c r="O22" s="11" t="str">
        <f t="shared" si="1"/>
        <v/>
      </c>
      <c r="P22" s="11" t="str">
        <f t="shared" si="2"/>
        <v/>
      </c>
      <c r="Q22" s="11" t="str">
        <f t="shared" si="3"/>
        <v/>
      </c>
    </row>
    <row r="23" spans="1:17" x14ac:dyDescent="0.25">
      <c r="A23">
        <v>1922</v>
      </c>
      <c r="N23" s="11" t="str">
        <f t="shared" si="0"/>
        <v/>
      </c>
      <c r="O23" s="11" t="str">
        <f t="shared" si="1"/>
        <v/>
      </c>
      <c r="P23" s="11" t="str">
        <f t="shared" si="2"/>
        <v/>
      </c>
      <c r="Q23" s="11" t="str">
        <f t="shared" si="3"/>
        <v/>
      </c>
    </row>
    <row r="24" spans="1:17" x14ac:dyDescent="0.25">
      <c r="A24">
        <v>1923</v>
      </c>
      <c r="N24" s="11" t="str">
        <f t="shared" si="0"/>
        <v/>
      </c>
      <c r="O24" s="11" t="str">
        <f t="shared" si="1"/>
        <v/>
      </c>
      <c r="P24" s="11" t="str">
        <f t="shared" si="2"/>
        <v/>
      </c>
      <c r="Q24" s="11" t="str">
        <f t="shared" si="3"/>
        <v/>
      </c>
    </row>
    <row r="25" spans="1:17" x14ac:dyDescent="0.25">
      <c r="A25">
        <v>1924</v>
      </c>
      <c r="N25" s="11" t="str">
        <f t="shared" si="0"/>
        <v/>
      </c>
      <c r="O25" s="11" t="str">
        <f t="shared" si="1"/>
        <v/>
      </c>
      <c r="P25" s="11" t="str">
        <f t="shared" si="2"/>
        <v/>
      </c>
      <c r="Q25" s="11" t="str">
        <f t="shared" si="3"/>
        <v/>
      </c>
    </row>
    <row r="26" spans="1:17" x14ac:dyDescent="0.25">
      <c r="A26">
        <v>1925</v>
      </c>
      <c r="N26" s="11" t="str">
        <f t="shared" si="0"/>
        <v/>
      </c>
      <c r="O26" s="11" t="str">
        <f t="shared" si="1"/>
        <v/>
      </c>
      <c r="P26" s="11" t="str">
        <f t="shared" si="2"/>
        <v/>
      </c>
      <c r="Q26" s="11" t="str">
        <f t="shared" si="3"/>
        <v/>
      </c>
    </row>
    <row r="27" spans="1:17" x14ac:dyDescent="0.25">
      <c r="A27">
        <v>1926</v>
      </c>
      <c r="N27" s="11" t="str">
        <f t="shared" si="0"/>
        <v/>
      </c>
      <c r="O27" s="11" t="str">
        <f t="shared" si="1"/>
        <v/>
      </c>
      <c r="P27" s="11" t="str">
        <f t="shared" si="2"/>
        <v/>
      </c>
      <c r="Q27" s="11" t="str">
        <f t="shared" si="3"/>
        <v/>
      </c>
    </row>
    <row r="28" spans="1:17" x14ac:dyDescent="0.25">
      <c r="A28">
        <v>1927</v>
      </c>
      <c r="N28" s="11" t="str">
        <f t="shared" si="0"/>
        <v/>
      </c>
      <c r="O28" s="11" t="str">
        <f t="shared" si="1"/>
        <v/>
      </c>
      <c r="P28" s="11" t="str">
        <f t="shared" si="2"/>
        <v/>
      </c>
      <c r="Q28" s="11" t="str">
        <f t="shared" si="3"/>
        <v/>
      </c>
    </row>
    <row r="29" spans="1:17" x14ac:dyDescent="0.25">
      <c r="A29">
        <v>1928</v>
      </c>
      <c r="N29" s="11" t="str">
        <f t="shared" si="0"/>
        <v/>
      </c>
      <c r="O29" s="11" t="str">
        <f t="shared" si="1"/>
        <v/>
      </c>
      <c r="P29" s="11" t="str">
        <f t="shared" si="2"/>
        <v/>
      </c>
      <c r="Q29" s="11" t="str">
        <f t="shared" si="3"/>
        <v/>
      </c>
    </row>
    <row r="30" spans="1:17" x14ac:dyDescent="0.25">
      <c r="A30">
        <v>1929</v>
      </c>
      <c r="N30" s="11" t="str">
        <f t="shared" si="0"/>
        <v/>
      </c>
      <c r="O30" s="11" t="str">
        <f t="shared" si="1"/>
        <v/>
      </c>
      <c r="P30" s="11" t="str">
        <f t="shared" si="2"/>
        <v/>
      </c>
      <c r="Q30" s="11" t="str">
        <f t="shared" si="3"/>
        <v/>
      </c>
    </row>
    <row r="31" spans="1:17" x14ac:dyDescent="0.25">
      <c r="A31">
        <v>1930</v>
      </c>
      <c r="N31" s="11" t="str">
        <f t="shared" si="0"/>
        <v/>
      </c>
      <c r="O31" s="11" t="str">
        <f t="shared" si="1"/>
        <v/>
      </c>
      <c r="P31" s="11" t="str">
        <f t="shared" si="2"/>
        <v/>
      </c>
      <c r="Q31" s="11" t="str">
        <f t="shared" si="3"/>
        <v/>
      </c>
    </row>
    <row r="32" spans="1:17" x14ac:dyDescent="0.25">
      <c r="A32">
        <v>1931</v>
      </c>
      <c r="N32" s="11" t="str">
        <f>IF(AND(ISNUMBER(D32),ISNUMBER(E32),ISNUMBER(F32)),AVERAGE(D32:F32),"")</f>
        <v/>
      </c>
      <c r="O32" s="11" t="str">
        <f>IF(AND(ISNUMBER(G32),ISNUMBER(H32),ISNUMBER(I32)),AVERAGE(G32:I32),"")</f>
        <v/>
      </c>
      <c r="P32" s="11" t="str">
        <f>IF(AND(ISNUMBER(J32),ISNUMBER(K32),ISNUMBER(L32)),AVERAGE(J32:L32),"")</f>
        <v/>
      </c>
      <c r="Q32" s="11" t="str">
        <f>IF(AND(ISNUMBER(M32),ISNUMBER(B33),ISNUMBER(C33)),AVERAGE(M32,B33:C33),"")</f>
        <v/>
      </c>
    </row>
    <row r="33" spans="1:17" x14ac:dyDescent="0.25">
      <c r="A33">
        <v>1932</v>
      </c>
      <c r="N33" s="11" t="str">
        <f t="shared" ref="N33:N96" si="4">IF(AND(ISNUMBER(D33),ISNUMBER(E33),ISNUMBER(F33)),AVERAGE(D33:F33),"")</f>
        <v/>
      </c>
      <c r="O33" s="11" t="str">
        <f t="shared" ref="O33:O96" si="5">IF(AND(ISNUMBER(G33),ISNUMBER(H33),ISNUMBER(I33)),AVERAGE(G33:I33),"")</f>
        <v/>
      </c>
      <c r="P33" s="11" t="str">
        <f t="shared" ref="P33:P96" si="6">IF(AND(ISNUMBER(J33),ISNUMBER(K33),ISNUMBER(L33)),AVERAGE(J33:L33),"")</f>
        <v/>
      </c>
      <c r="Q33" s="11" t="str">
        <f t="shared" ref="Q33:Q96" si="7">IF(AND(ISNUMBER(M33),ISNUMBER(B34),ISNUMBER(C34)),AVERAGE(M33,B34:C34),"")</f>
        <v/>
      </c>
    </row>
    <row r="34" spans="1:17" x14ac:dyDescent="0.25">
      <c r="A34">
        <v>1933</v>
      </c>
      <c r="N34" s="11" t="str">
        <f t="shared" si="4"/>
        <v/>
      </c>
      <c r="O34" s="11" t="str">
        <f t="shared" si="5"/>
        <v/>
      </c>
      <c r="P34" s="11" t="str">
        <f t="shared" si="6"/>
        <v/>
      </c>
      <c r="Q34" s="11" t="str">
        <f t="shared" si="7"/>
        <v/>
      </c>
    </row>
    <row r="35" spans="1:17" x14ac:dyDescent="0.25">
      <c r="A35">
        <v>1934</v>
      </c>
      <c r="N35" s="11" t="str">
        <f t="shared" si="4"/>
        <v/>
      </c>
      <c r="O35" s="11" t="str">
        <f t="shared" si="5"/>
        <v/>
      </c>
      <c r="P35" s="11" t="str">
        <f t="shared" si="6"/>
        <v/>
      </c>
      <c r="Q35" s="11" t="str">
        <f t="shared" si="7"/>
        <v/>
      </c>
    </row>
    <row r="36" spans="1:17" x14ac:dyDescent="0.25">
      <c r="A36">
        <v>1935</v>
      </c>
      <c r="N36" s="11" t="str">
        <f t="shared" si="4"/>
        <v/>
      </c>
      <c r="O36" s="11" t="str">
        <f t="shared" si="5"/>
        <v/>
      </c>
      <c r="P36" s="11" t="str">
        <f t="shared" si="6"/>
        <v/>
      </c>
      <c r="Q36" s="11" t="str">
        <f t="shared" si="7"/>
        <v/>
      </c>
    </row>
    <row r="37" spans="1:17" x14ac:dyDescent="0.25">
      <c r="A37">
        <v>1936</v>
      </c>
      <c r="N37" s="11" t="str">
        <f t="shared" si="4"/>
        <v/>
      </c>
      <c r="O37" s="11" t="str">
        <f t="shared" si="5"/>
        <v/>
      </c>
      <c r="P37" s="11" t="str">
        <f t="shared" si="6"/>
        <v/>
      </c>
      <c r="Q37" s="11" t="str">
        <f t="shared" si="7"/>
        <v/>
      </c>
    </row>
    <row r="38" spans="1:17" x14ac:dyDescent="0.25">
      <c r="A38">
        <v>1937</v>
      </c>
      <c r="N38" s="11" t="str">
        <f t="shared" si="4"/>
        <v/>
      </c>
      <c r="O38" s="11" t="str">
        <f t="shared" si="5"/>
        <v/>
      </c>
      <c r="P38" s="11" t="str">
        <f t="shared" si="6"/>
        <v/>
      </c>
      <c r="Q38" s="11" t="str">
        <f t="shared" si="7"/>
        <v/>
      </c>
    </row>
    <row r="39" spans="1:17" x14ac:dyDescent="0.25">
      <c r="A39">
        <v>1938</v>
      </c>
      <c r="N39" s="11" t="str">
        <f t="shared" si="4"/>
        <v/>
      </c>
      <c r="O39" s="11" t="str">
        <f t="shared" si="5"/>
        <v/>
      </c>
      <c r="P39" s="11" t="str">
        <f t="shared" si="6"/>
        <v/>
      </c>
      <c r="Q39" s="11" t="str">
        <f t="shared" si="7"/>
        <v/>
      </c>
    </row>
    <row r="40" spans="1:17" x14ac:dyDescent="0.25">
      <c r="A40">
        <v>1939</v>
      </c>
      <c r="N40" s="11" t="str">
        <f t="shared" si="4"/>
        <v/>
      </c>
      <c r="O40" s="11" t="str">
        <f t="shared" si="5"/>
        <v/>
      </c>
      <c r="P40" s="11" t="str">
        <f t="shared" si="6"/>
        <v/>
      </c>
      <c r="Q40" s="11" t="str">
        <f t="shared" si="7"/>
        <v/>
      </c>
    </row>
    <row r="41" spans="1:17" x14ac:dyDescent="0.25">
      <c r="A41">
        <v>1940</v>
      </c>
      <c r="N41" s="11" t="str">
        <f t="shared" si="4"/>
        <v/>
      </c>
      <c r="O41" s="11" t="str">
        <f t="shared" si="5"/>
        <v/>
      </c>
      <c r="P41" s="11" t="str">
        <f t="shared" si="6"/>
        <v/>
      </c>
      <c r="Q41" s="11" t="str">
        <f t="shared" si="7"/>
        <v/>
      </c>
    </row>
    <row r="42" spans="1:17" x14ac:dyDescent="0.25">
      <c r="A42">
        <v>1941</v>
      </c>
      <c r="N42" s="11" t="str">
        <f t="shared" si="4"/>
        <v/>
      </c>
      <c r="O42" s="11" t="str">
        <f t="shared" si="5"/>
        <v/>
      </c>
      <c r="P42" s="11" t="str">
        <f t="shared" si="6"/>
        <v/>
      </c>
      <c r="Q42" s="11" t="str">
        <f t="shared" si="7"/>
        <v/>
      </c>
    </row>
    <row r="43" spans="1:17" x14ac:dyDescent="0.25">
      <c r="A43">
        <v>1942</v>
      </c>
      <c r="N43" s="11" t="str">
        <f t="shared" si="4"/>
        <v/>
      </c>
      <c r="O43" s="11" t="str">
        <f t="shared" si="5"/>
        <v/>
      </c>
      <c r="P43" s="11" t="str">
        <f t="shared" si="6"/>
        <v/>
      </c>
      <c r="Q43" s="11" t="str">
        <f t="shared" si="7"/>
        <v/>
      </c>
    </row>
    <row r="44" spans="1:17" x14ac:dyDescent="0.25">
      <c r="A44">
        <v>1943</v>
      </c>
      <c r="N44" s="11" t="str">
        <f t="shared" si="4"/>
        <v/>
      </c>
      <c r="O44" s="11" t="str">
        <f t="shared" si="5"/>
        <v/>
      </c>
      <c r="P44" s="11" t="str">
        <f t="shared" si="6"/>
        <v/>
      </c>
      <c r="Q44" s="11" t="str">
        <f t="shared" si="7"/>
        <v/>
      </c>
    </row>
    <row r="45" spans="1:17" x14ac:dyDescent="0.25">
      <c r="A45">
        <v>1944</v>
      </c>
      <c r="N45" s="11" t="str">
        <f t="shared" si="4"/>
        <v/>
      </c>
      <c r="O45" s="11" t="str">
        <f t="shared" si="5"/>
        <v/>
      </c>
      <c r="P45" s="11" t="str">
        <f t="shared" si="6"/>
        <v/>
      </c>
      <c r="Q45" s="11" t="str">
        <f t="shared" si="7"/>
        <v/>
      </c>
    </row>
    <row r="46" spans="1:17" x14ac:dyDescent="0.25">
      <c r="A46">
        <v>1945</v>
      </c>
      <c r="N46" s="11" t="str">
        <f t="shared" si="4"/>
        <v/>
      </c>
      <c r="O46" s="11" t="str">
        <f t="shared" si="5"/>
        <v/>
      </c>
      <c r="P46" s="11" t="str">
        <f t="shared" si="6"/>
        <v/>
      </c>
      <c r="Q46" s="11" t="str">
        <f t="shared" si="7"/>
        <v/>
      </c>
    </row>
    <row r="47" spans="1:17" x14ac:dyDescent="0.25">
      <c r="A47">
        <v>1946</v>
      </c>
      <c r="N47" s="11" t="str">
        <f t="shared" si="4"/>
        <v/>
      </c>
      <c r="O47" s="11" t="str">
        <f t="shared" si="5"/>
        <v/>
      </c>
      <c r="P47" s="11" t="str">
        <f t="shared" si="6"/>
        <v/>
      </c>
      <c r="Q47" s="11" t="str">
        <f t="shared" si="7"/>
        <v/>
      </c>
    </row>
    <row r="48" spans="1:17" x14ac:dyDescent="0.25">
      <c r="A48">
        <v>1947</v>
      </c>
      <c r="N48" s="11" t="str">
        <f t="shared" si="4"/>
        <v/>
      </c>
      <c r="O48" s="11" t="str">
        <f t="shared" si="5"/>
        <v/>
      </c>
      <c r="P48" s="11" t="str">
        <f t="shared" si="6"/>
        <v/>
      </c>
      <c r="Q48" s="11" t="str">
        <f t="shared" si="7"/>
        <v/>
      </c>
    </row>
    <row r="49" spans="1:17" x14ac:dyDescent="0.25">
      <c r="A49">
        <v>1948</v>
      </c>
      <c r="N49" s="11" t="str">
        <f t="shared" si="4"/>
        <v/>
      </c>
      <c r="O49" s="11" t="str">
        <f t="shared" si="5"/>
        <v/>
      </c>
      <c r="P49" s="11" t="str">
        <f t="shared" si="6"/>
        <v/>
      </c>
      <c r="Q49" s="11" t="str">
        <f t="shared" si="7"/>
        <v/>
      </c>
    </row>
    <row r="50" spans="1:17" x14ac:dyDescent="0.25">
      <c r="A50">
        <v>1949</v>
      </c>
      <c r="N50" s="11" t="str">
        <f t="shared" si="4"/>
        <v/>
      </c>
      <c r="O50" s="11" t="str">
        <f t="shared" si="5"/>
        <v/>
      </c>
      <c r="P50" s="11" t="str">
        <f t="shared" si="6"/>
        <v/>
      </c>
      <c r="Q50" s="11" t="str">
        <f t="shared" si="7"/>
        <v/>
      </c>
    </row>
    <row r="51" spans="1:17" x14ac:dyDescent="0.25">
      <c r="A51">
        <v>1950</v>
      </c>
      <c r="B51">
        <v>8.2692870000000003</v>
      </c>
      <c r="C51">
        <v>8.8195499999999996</v>
      </c>
      <c r="D51">
        <v>7.9281309999999996</v>
      </c>
      <c r="E51">
        <v>3.8704529999999999</v>
      </c>
      <c r="F51">
        <v>0.84036250000000001</v>
      </c>
      <c r="G51">
        <v>0.38912960000000002</v>
      </c>
      <c r="H51">
        <v>-1.1064149999999999</v>
      </c>
      <c r="I51">
        <v>-0.75735470000000005</v>
      </c>
      <c r="J51">
        <v>1.5703739999999999</v>
      </c>
      <c r="K51">
        <v>2.4523929999999998</v>
      </c>
      <c r="L51">
        <v>3.9178470000000001</v>
      </c>
      <c r="M51">
        <v>7.2089840000000001</v>
      </c>
      <c r="N51" s="11">
        <f t="shared" si="4"/>
        <v>4.2129821666666665</v>
      </c>
      <c r="O51" s="11">
        <f t="shared" si="5"/>
        <v>-0.4915467</v>
      </c>
      <c r="P51" s="11">
        <f t="shared" si="6"/>
        <v>2.6468713333333334</v>
      </c>
      <c r="Q51" s="11">
        <f t="shared" si="7"/>
        <v>9.1710580000000004</v>
      </c>
    </row>
    <row r="52" spans="1:17" x14ac:dyDescent="0.25">
      <c r="A52">
        <v>1951</v>
      </c>
      <c r="B52">
        <v>10.162990000000001</v>
      </c>
      <c r="C52">
        <v>10.1412</v>
      </c>
      <c r="D52">
        <v>7.1885070000000004</v>
      </c>
      <c r="E52">
        <v>6.4068909999999999</v>
      </c>
      <c r="F52">
        <v>2.7410580000000002</v>
      </c>
      <c r="G52">
        <v>0.21646119999999999</v>
      </c>
      <c r="H52">
        <v>3.5003659999999999E-2</v>
      </c>
      <c r="I52">
        <v>0.25802609999999998</v>
      </c>
      <c r="J52">
        <v>0.73843380000000003</v>
      </c>
      <c r="K52">
        <v>1.8486020000000001</v>
      </c>
      <c r="L52">
        <v>3.0851139999999999</v>
      </c>
      <c r="M52">
        <v>8.3934940000000005</v>
      </c>
      <c r="N52" s="11">
        <f t="shared" si="4"/>
        <v>5.4454853333333331</v>
      </c>
      <c r="O52" s="11">
        <f t="shared" si="5"/>
        <v>0.16983031999999998</v>
      </c>
      <c r="P52" s="11">
        <f t="shared" si="6"/>
        <v>1.8907166</v>
      </c>
      <c r="Q52" s="11">
        <f t="shared" si="7"/>
        <v>9.3217790000000011</v>
      </c>
    </row>
    <row r="53" spans="1:17" x14ac:dyDescent="0.25">
      <c r="A53">
        <v>1952</v>
      </c>
      <c r="B53">
        <v>9.0054630000000007</v>
      </c>
      <c r="C53">
        <v>10.566380000000001</v>
      </c>
      <c r="D53">
        <v>7.8290410000000001</v>
      </c>
      <c r="E53">
        <v>6.1264950000000002</v>
      </c>
      <c r="F53">
        <v>2.9049990000000001</v>
      </c>
      <c r="G53">
        <v>-1.0612490000000001</v>
      </c>
      <c r="H53">
        <v>-0.35031129999999999</v>
      </c>
      <c r="I53">
        <v>-4.8675540000000003E-2</v>
      </c>
      <c r="J53">
        <v>1.126099</v>
      </c>
      <c r="K53">
        <v>2.4313660000000001</v>
      </c>
      <c r="L53">
        <v>6.8321230000000002</v>
      </c>
      <c r="M53">
        <v>10.08694</v>
      </c>
      <c r="N53" s="11">
        <f t="shared" si="4"/>
        <v>5.6201783333333326</v>
      </c>
      <c r="O53" s="11">
        <f t="shared" si="5"/>
        <v>-0.48674528000000006</v>
      </c>
      <c r="P53" s="11">
        <f t="shared" si="6"/>
        <v>3.4631959999999999</v>
      </c>
      <c r="Q53" s="11">
        <f t="shared" si="7"/>
        <v>10.145496333333334</v>
      </c>
    </row>
    <row r="54" spans="1:17" x14ac:dyDescent="0.25">
      <c r="A54">
        <v>1953</v>
      </c>
      <c r="B54">
        <v>9.1467589999999994</v>
      </c>
      <c r="C54">
        <v>11.20279</v>
      </c>
      <c r="D54">
        <v>7.996613</v>
      </c>
      <c r="E54">
        <v>6.2737119999999997</v>
      </c>
      <c r="F54">
        <v>2.7161559999999998</v>
      </c>
      <c r="G54">
        <v>0.95852660000000001</v>
      </c>
      <c r="H54">
        <v>-1.968658</v>
      </c>
      <c r="I54">
        <v>-0.4097595</v>
      </c>
      <c r="J54">
        <v>1.0164789999999999</v>
      </c>
      <c r="K54">
        <v>1.4274899999999999</v>
      </c>
      <c r="L54">
        <v>4.2054749999999999</v>
      </c>
      <c r="M54">
        <v>8.6876529999999992</v>
      </c>
      <c r="N54" s="11">
        <f t="shared" si="4"/>
        <v>5.6621603333333326</v>
      </c>
      <c r="O54" s="11">
        <f t="shared" si="5"/>
        <v>-0.47329696666666671</v>
      </c>
      <c r="P54" s="11">
        <f t="shared" si="6"/>
        <v>2.2164813333333333</v>
      </c>
      <c r="Q54" s="11">
        <f t="shared" si="7"/>
        <v>8.2639059999999986</v>
      </c>
    </row>
    <row r="55" spans="1:17" x14ac:dyDescent="0.25">
      <c r="A55">
        <v>1954</v>
      </c>
      <c r="B55">
        <v>6.799347</v>
      </c>
      <c r="C55">
        <v>9.3047179999999994</v>
      </c>
      <c r="D55">
        <v>8.4002379999999999</v>
      </c>
      <c r="E55">
        <v>4.9302669999999997</v>
      </c>
      <c r="F55">
        <v>1.2298279999999999</v>
      </c>
      <c r="G55">
        <v>-0.1511536</v>
      </c>
      <c r="H55">
        <v>-1.502777</v>
      </c>
      <c r="I55">
        <v>-0.67758180000000001</v>
      </c>
      <c r="J55">
        <v>0.31118770000000001</v>
      </c>
      <c r="K55">
        <v>2.2508849999999998</v>
      </c>
      <c r="L55">
        <v>5.0397639999999999</v>
      </c>
      <c r="M55">
        <v>7.3633420000000003</v>
      </c>
      <c r="N55" s="11">
        <f t="shared" si="4"/>
        <v>4.853444333333333</v>
      </c>
      <c r="O55" s="11">
        <f t="shared" si="5"/>
        <v>-0.77717080000000005</v>
      </c>
      <c r="P55" s="11">
        <f t="shared" si="6"/>
        <v>2.5339455666666666</v>
      </c>
      <c r="Q55" s="11">
        <f t="shared" si="7"/>
        <v>9.5430410000000006</v>
      </c>
    </row>
    <row r="56" spans="1:17" x14ac:dyDescent="0.25">
      <c r="A56">
        <v>1955</v>
      </c>
      <c r="B56">
        <v>12.098269999999999</v>
      </c>
      <c r="C56">
        <v>9.1675109999999993</v>
      </c>
      <c r="D56">
        <v>7.7101439999999997</v>
      </c>
      <c r="E56">
        <v>5.6086729999999996</v>
      </c>
      <c r="F56">
        <v>1.8892519999999999</v>
      </c>
      <c r="G56">
        <v>-0.3944397</v>
      </c>
      <c r="H56">
        <v>-2.1043400000000001</v>
      </c>
      <c r="I56">
        <v>-0.3614502</v>
      </c>
      <c r="J56">
        <v>1.0252380000000001</v>
      </c>
      <c r="K56">
        <v>2.9252929999999999</v>
      </c>
      <c r="L56">
        <v>4.6977539999999998</v>
      </c>
      <c r="M56">
        <v>6.4758300000000002</v>
      </c>
      <c r="N56" s="11">
        <f t="shared" si="4"/>
        <v>5.0693563333333325</v>
      </c>
      <c r="O56" s="11">
        <f t="shared" si="5"/>
        <v>-0.95340996666666677</v>
      </c>
      <c r="P56" s="11">
        <f t="shared" si="6"/>
        <v>2.8827616666666667</v>
      </c>
      <c r="Q56" s="11">
        <f t="shared" si="7"/>
        <v>8.2793679999999998</v>
      </c>
    </row>
    <row r="57" spans="1:17" x14ac:dyDescent="0.25">
      <c r="A57">
        <v>1956</v>
      </c>
      <c r="B57">
        <v>8.5606380000000009</v>
      </c>
      <c r="C57">
        <v>9.8016360000000002</v>
      </c>
      <c r="D57">
        <v>7.433014</v>
      </c>
      <c r="E57">
        <v>5.6437989999999996</v>
      </c>
      <c r="F57">
        <v>1.0169680000000001</v>
      </c>
      <c r="G57">
        <v>0.4826355</v>
      </c>
      <c r="H57">
        <v>0.1698914</v>
      </c>
      <c r="I57">
        <v>-0.96121219999999996</v>
      </c>
      <c r="J57">
        <v>0.26971440000000002</v>
      </c>
      <c r="K57">
        <v>2.6574399999999998</v>
      </c>
      <c r="L57">
        <v>7.8745729999999998</v>
      </c>
      <c r="M57">
        <v>11.362579999999999</v>
      </c>
      <c r="N57" s="11">
        <f t="shared" si="4"/>
        <v>4.697927</v>
      </c>
      <c r="O57" s="11">
        <f t="shared" si="5"/>
        <v>-0.10289509999999998</v>
      </c>
      <c r="P57" s="11">
        <f t="shared" si="6"/>
        <v>3.6005758000000001</v>
      </c>
      <c r="Q57" s="11">
        <f t="shared" si="7"/>
        <v>11.422213333333334</v>
      </c>
    </row>
    <row r="58" spans="1:17" x14ac:dyDescent="0.25">
      <c r="A58">
        <v>1957</v>
      </c>
      <c r="B58">
        <v>10.70505</v>
      </c>
      <c r="C58">
        <v>12.199009999999999</v>
      </c>
      <c r="D58">
        <v>9.7345889999999997</v>
      </c>
      <c r="E58">
        <v>8.2707820000000005</v>
      </c>
      <c r="F58">
        <v>2.4741819999999999</v>
      </c>
      <c r="G58">
        <v>-1.465973</v>
      </c>
      <c r="H58">
        <v>-0.94717410000000002</v>
      </c>
      <c r="I58">
        <v>-0.23144529999999999</v>
      </c>
      <c r="J58">
        <v>1.855804</v>
      </c>
      <c r="K58">
        <v>2.4748839999999999</v>
      </c>
      <c r="L58">
        <v>5.6481630000000003</v>
      </c>
      <c r="M58">
        <v>7.9804079999999997</v>
      </c>
      <c r="N58" s="11">
        <f t="shared" si="4"/>
        <v>6.8265176666666667</v>
      </c>
      <c r="O58" s="11">
        <f t="shared" si="5"/>
        <v>-0.88153079999999984</v>
      </c>
      <c r="P58" s="11">
        <f t="shared" si="6"/>
        <v>3.3262836666666669</v>
      </c>
      <c r="Q58" s="11">
        <f t="shared" si="7"/>
        <v>9.8935659999999999</v>
      </c>
    </row>
    <row r="59" spans="1:17" x14ac:dyDescent="0.25">
      <c r="A59">
        <v>1958</v>
      </c>
      <c r="B59">
        <v>11.3804</v>
      </c>
      <c r="C59">
        <v>10.319889999999999</v>
      </c>
      <c r="D59">
        <v>11.111050000000001</v>
      </c>
      <c r="E59">
        <v>6.2662659999999999</v>
      </c>
      <c r="F59">
        <v>2.15387</v>
      </c>
      <c r="G59">
        <v>0.80758669999999999</v>
      </c>
      <c r="H59">
        <v>1.653473</v>
      </c>
      <c r="I59">
        <v>-0.1678162</v>
      </c>
      <c r="J59">
        <v>1.368317</v>
      </c>
      <c r="K59">
        <v>4.8885800000000001</v>
      </c>
      <c r="L59">
        <v>6.5903929999999997</v>
      </c>
      <c r="M59">
        <v>9.5582580000000004</v>
      </c>
      <c r="N59" s="11">
        <f t="shared" si="4"/>
        <v>6.5103953333333342</v>
      </c>
      <c r="O59" s="11">
        <f t="shared" si="5"/>
        <v>0.7644145</v>
      </c>
      <c r="P59" s="11">
        <f t="shared" si="6"/>
        <v>4.2824300000000006</v>
      </c>
      <c r="Q59" s="11">
        <f t="shared" si="7"/>
        <v>9.8449183333333341</v>
      </c>
    </row>
    <row r="60" spans="1:17" x14ac:dyDescent="0.25">
      <c r="A60">
        <v>1959</v>
      </c>
      <c r="B60">
        <v>9.2073669999999996</v>
      </c>
      <c r="C60">
        <v>10.769130000000001</v>
      </c>
      <c r="D60">
        <v>8.7131039999999995</v>
      </c>
      <c r="E60">
        <v>3.3075260000000002</v>
      </c>
      <c r="F60">
        <v>1.4379580000000001</v>
      </c>
      <c r="G60">
        <v>0.46450809999999998</v>
      </c>
      <c r="H60">
        <v>-0.96337890000000004</v>
      </c>
      <c r="I60">
        <v>-1.37619</v>
      </c>
      <c r="J60">
        <v>4.1473389999999999E-2</v>
      </c>
      <c r="K60">
        <v>1.810333</v>
      </c>
      <c r="L60">
        <v>4.2933960000000004</v>
      </c>
      <c r="M60">
        <v>9.0856929999999991</v>
      </c>
      <c r="N60" s="11">
        <f t="shared" si="4"/>
        <v>4.4861960000000005</v>
      </c>
      <c r="O60" s="11">
        <f t="shared" si="5"/>
        <v>-0.62502026666666666</v>
      </c>
      <c r="P60" s="11">
        <f t="shared" si="6"/>
        <v>2.0484007966666669</v>
      </c>
      <c r="Q60" s="11">
        <f t="shared" si="7"/>
        <v>11.440887666666669</v>
      </c>
    </row>
    <row r="61" spans="1:17" x14ac:dyDescent="0.25">
      <c r="A61">
        <v>1960</v>
      </c>
      <c r="B61">
        <v>12.90131</v>
      </c>
      <c r="C61">
        <v>12.335660000000001</v>
      </c>
      <c r="D61">
        <v>11.02792</v>
      </c>
      <c r="E61">
        <v>6.658722</v>
      </c>
      <c r="F61">
        <v>4.84903</v>
      </c>
      <c r="G61">
        <v>0.60110470000000005</v>
      </c>
      <c r="H61">
        <v>-0.44631959999999998</v>
      </c>
      <c r="I61">
        <v>0.74386600000000003</v>
      </c>
      <c r="J61">
        <v>2.099945</v>
      </c>
      <c r="K61">
        <v>2.9097900000000001</v>
      </c>
      <c r="L61">
        <v>5.0971979999999997</v>
      </c>
      <c r="M61">
        <v>9.3628850000000003</v>
      </c>
      <c r="N61" s="11">
        <f t="shared" si="4"/>
        <v>7.511890666666666</v>
      </c>
      <c r="O61" s="11">
        <f t="shared" si="5"/>
        <v>0.29955036666666673</v>
      </c>
      <c r="P61" s="11">
        <f t="shared" si="6"/>
        <v>3.3689776666666664</v>
      </c>
      <c r="Q61" s="11">
        <f t="shared" si="7"/>
        <v>9.5317906666666659</v>
      </c>
    </row>
    <row r="62" spans="1:17" x14ac:dyDescent="0.25">
      <c r="A62">
        <v>1961</v>
      </c>
      <c r="B62">
        <v>9.1071469999999994</v>
      </c>
      <c r="C62">
        <v>10.12534</v>
      </c>
      <c r="D62">
        <v>8.6860049999999998</v>
      </c>
      <c r="E62">
        <v>5.312805</v>
      </c>
      <c r="F62">
        <v>3.178925</v>
      </c>
      <c r="G62">
        <v>-0.91491699999999998</v>
      </c>
      <c r="H62">
        <v>0.3091431</v>
      </c>
      <c r="I62">
        <v>1.7669980000000001</v>
      </c>
      <c r="J62">
        <v>1.005463</v>
      </c>
      <c r="K62">
        <v>3.4956360000000002</v>
      </c>
      <c r="L62">
        <v>5.4145810000000001</v>
      </c>
      <c r="M62">
        <v>9.6013490000000008</v>
      </c>
      <c r="N62" s="11">
        <f t="shared" si="4"/>
        <v>5.7259116666666658</v>
      </c>
      <c r="O62" s="11">
        <f t="shared" si="5"/>
        <v>0.38707470000000005</v>
      </c>
      <c r="P62" s="11">
        <f t="shared" si="6"/>
        <v>3.3052266666666665</v>
      </c>
      <c r="Q62" s="11">
        <f t="shared" si="7"/>
        <v>11.312619666666668</v>
      </c>
    </row>
    <row r="63" spans="1:17" x14ac:dyDescent="0.25">
      <c r="A63">
        <v>1962</v>
      </c>
      <c r="B63">
        <v>11.381130000000001</v>
      </c>
      <c r="C63">
        <v>12.95538</v>
      </c>
      <c r="D63">
        <v>10.44571</v>
      </c>
      <c r="E63">
        <v>5.4932860000000003</v>
      </c>
      <c r="F63">
        <v>2.78064</v>
      </c>
      <c r="G63">
        <v>1.3121339999999999</v>
      </c>
      <c r="H63">
        <v>-0.68905640000000001</v>
      </c>
      <c r="I63">
        <v>1.2842100000000001</v>
      </c>
      <c r="J63">
        <v>1.8629150000000001</v>
      </c>
      <c r="K63">
        <v>4.0199280000000002</v>
      </c>
      <c r="L63">
        <v>7.939667</v>
      </c>
      <c r="M63">
        <v>10.29529</v>
      </c>
      <c r="N63" s="11">
        <f t="shared" si="4"/>
        <v>6.2398786666666668</v>
      </c>
      <c r="O63" s="11">
        <f t="shared" si="5"/>
        <v>0.63576253333333332</v>
      </c>
      <c r="P63" s="11">
        <f t="shared" si="6"/>
        <v>4.6075033333333337</v>
      </c>
      <c r="Q63" s="11">
        <f t="shared" si="7"/>
        <v>11.049876666666668</v>
      </c>
    </row>
    <row r="64" spans="1:17" x14ac:dyDescent="0.25">
      <c r="A64">
        <v>1963</v>
      </c>
      <c r="B64">
        <v>9.7865599999999997</v>
      </c>
      <c r="C64">
        <v>13.067780000000001</v>
      </c>
      <c r="D64">
        <v>8.0149840000000001</v>
      </c>
      <c r="E64">
        <v>6.5379940000000003</v>
      </c>
      <c r="F64">
        <v>2.820068</v>
      </c>
      <c r="G64">
        <v>0.82836909999999997</v>
      </c>
      <c r="H64">
        <v>0.86233519999999997</v>
      </c>
      <c r="I64">
        <v>1.247925</v>
      </c>
      <c r="J64">
        <v>1.5165709999999999</v>
      </c>
      <c r="K64">
        <v>3.9956360000000002</v>
      </c>
      <c r="L64">
        <v>4.4816890000000003</v>
      </c>
      <c r="M64">
        <v>9.5608219999999999</v>
      </c>
      <c r="N64" s="11">
        <f t="shared" si="4"/>
        <v>5.7910153333333332</v>
      </c>
      <c r="O64" s="11">
        <f t="shared" si="5"/>
        <v>0.97954309999999989</v>
      </c>
      <c r="P64" s="11">
        <f t="shared" si="6"/>
        <v>3.3312986666666666</v>
      </c>
      <c r="Q64" s="11">
        <f t="shared" si="7"/>
        <v>10.050058999999999</v>
      </c>
    </row>
    <row r="65" spans="1:17" x14ac:dyDescent="0.25">
      <c r="A65">
        <v>1964</v>
      </c>
      <c r="B65">
        <v>11.4664</v>
      </c>
      <c r="C65">
        <v>9.1229549999999993</v>
      </c>
      <c r="D65">
        <v>7.9081729999999997</v>
      </c>
      <c r="E65">
        <v>6.1166689999999999</v>
      </c>
      <c r="F65">
        <v>2.9650569999999998</v>
      </c>
      <c r="G65">
        <v>-0.34451290000000001</v>
      </c>
      <c r="H65">
        <v>0.47091670000000002</v>
      </c>
      <c r="I65">
        <v>0.80361939999999998</v>
      </c>
      <c r="J65">
        <v>1.5612490000000001</v>
      </c>
      <c r="K65">
        <v>4.3989560000000001</v>
      </c>
      <c r="L65">
        <v>6.870819</v>
      </c>
      <c r="M65">
        <v>9.0851749999999996</v>
      </c>
      <c r="N65" s="11">
        <f t="shared" si="4"/>
        <v>5.6632996666666671</v>
      </c>
      <c r="O65" s="11">
        <f t="shared" si="5"/>
        <v>0.31000773333333331</v>
      </c>
      <c r="P65" s="11">
        <f t="shared" si="6"/>
        <v>4.2770079999999995</v>
      </c>
      <c r="Q65" s="11">
        <f t="shared" si="7"/>
        <v>9.9404820000000012</v>
      </c>
    </row>
    <row r="66" spans="1:17" x14ac:dyDescent="0.25">
      <c r="A66">
        <v>1965</v>
      </c>
      <c r="B66">
        <v>11.20908</v>
      </c>
      <c r="C66">
        <v>9.5271910000000002</v>
      </c>
      <c r="D66">
        <v>10.835850000000001</v>
      </c>
      <c r="E66">
        <v>5.20932</v>
      </c>
      <c r="F66">
        <v>1.296692</v>
      </c>
      <c r="G66">
        <v>2.52597</v>
      </c>
      <c r="H66">
        <v>-0.4660339</v>
      </c>
      <c r="I66">
        <v>0.50259399999999999</v>
      </c>
      <c r="J66">
        <v>0.97497560000000005</v>
      </c>
      <c r="K66">
        <v>2.6762389999999998</v>
      </c>
      <c r="L66">
        <v>5.4168089999999998</v>
      </c>
      <c r="M66">
        <v>7.2801210000000003</v>
      </c>
      <c r="N66" s="11">
        <f t="shared" si="4"/>
        <v>5.7806206666666666</v>
      </c>
      <c r="O66" s="11">
        <f t="shared" si="5"/>
        <v>0.85417670000000001</v>
      </c>
      <c r="P66" s="11">
        <f t="shared" si="6"/>
        <v>3.0226745333333334</v>
      </c>
      <c r="Q66" s="11">
        <f t="shared" si="7"/>
        <v>9.0308113333333342</v>
      </c>
    </row>
    <row r="67" spans="1:17" x14ac:dyDescent="0.25">
      <c r="A67">
        <v>1966</v>
      </c>
      <c r="B67">
        <v>10.919460000000001</v>
      </c>
      <c r="C67">
        <v>8.8928530000000006</v>
      </c>
      <c r="D67">
        <v>8.4178770000000007</v>
      </c>
      <c r="E67">
        <v>7.3616330000000003</v>
      </c>
      <c r="F67">
        <v>4.6444089999999996</v>
      </c>
      <c r="G67">
        <v>1.355316</v>
      </c>
      <c r="H67">
        <v>0.4679565</v>
      </c>
      <c r="I67">
        <v>0.89859009999999995</v>
      </c>
      <c r="J67">
        <v>0.97677610000000004</v>
      </c>
      <c r="K67">
        <v>2.316071</v>
      </c>
      <c r="L67">
        <v>5.6216739999999996</v>
      </c>
      <c r="M67">
        <v>7.2372439999999996</v>
      </c>
      <c r="N67" s="11">
        <f t="shared" si="4"/>
        <v>6.8079730000000005</v>
      </c>
      <c r="O67" s="11">
        <f t="shared" si="5"/>
        <v>0.90728753333333323</v>
      </c>
      <c r="P67" s="11">
        <f t="shared" si="6"/>
        <v>2.9715070333333333</v>
      </c>
      <c r="Q67" s="11">
        <f t="shared" si="7"/>
        <v>9.05715</v>
      </c>
    </row>
    <row r="68" spans="1:17" x14ac:dyDescent="0.25">
      <c r="A68">
        <v>1967</v>
      </c>
      <c r="B68">
        <v>9.9337459999999993</v>
      </c>
      <c r="C68">
        <v>10.00046</v>
      </c>
      <c r="D68">
        <v>9.1140439999999998</v>
      </c>
      <c r="E68">
        <v>6.308929</v>
      </c>
      <c r="F68">
        <v>3.2159119999999999</v>
      </c>
      <c r="G68">
        <v>-0.94772339999999999</v>
      </c>
      <c r="H68">
        <v>3.4210209999999998E-2</v>
      </c>
      <c r="I68">
        <v>-0.20956420000000001</v>
      </c>
      <c r="J68">
        <v>1.4440919999999999</v>
      </c>
      <c r="K68">
        <v>3.2785950000000001</v>
      </c>
      <c r="L68">
        <v>5.0924990000000001</v>
      </c>
      <c r="M68">
        <v>9.5155329999999996</v>
      </c>
      <c r="N68" s="11">
        <f t="shared" si="4"/>
        <v>6.2129616666666658</v>
      </c>
      <c r="O68" s="11">
        <f t="shared" si="5"/>
        <v>-0.37435912999999998</v>
      </c>
      <c r="P68" s="11">
        <f t="shared" si="6"/>
        <v>3.2717286666666667</v>
      </c>
      <c r="Q68" s="11">
        <f t="shared" si="7"/>
        <v>9.8108523333333331</v>
      </c>
    </row>
    <row r="69" spans="1:17" x14ac:dyDescent="0.25">
      <c r="A69">
        <v>1968</v>
      </c>
      <c r="B69">
        <v>10.95218</v>
      </c>
      <c r="C69">
        <v>8.9648439999999994</v>
      </c>
      <c r="D69">
        <v>8.5262449999999994</v>
      </c>
      <c r="E69">
        <v>6.5420230000000004</v>
      </c>
      <c r="F69">
        <v>4.9044489999999996</v>
      </c>
      <c r="G69">
        <v>1.2163090000000001</v>
      </c>
      <c r="H69">
        <v>1.252167</v>
      </c>
      <c r="I69">
        <v>1.2895810000000001</v>
      </c>
      <c r="J69">
        <v>2.3440859999999999</v>
      </c>
      <c r="K69">
        <v>2.674957</v>
      </c>
      <c r="L69">
        <v>8.3070679999999992</v>
      </c>
      <c r="M69">
        <v>8.2830200000000005</v>
      </c>
      <c r="N69" s="11">
        <f t="shared" si="4"/>
        <v>6.6575723333333334</v>
      </c>
      <c r="O69" s="11">
        <f t="shared" si="5"/>
        <v>1.2526856666666666</v>
      </c>
      <c r="P69" s="11">
        <f t="shared" si="6"/>
        <v>4.442037</v>
      </c>
      <c r="Q69" s="11">
        <f t="shared" si="7"/>
        <v>9.7503873333333342</v>
      </c>
    </row>
    <row r="70" spans="1:17" x14ac:dyDescent="0.25">
      <c r="A70">
        <v>1969</v>
      </c>
      <c r="B70">
        <v>11.583589999999999</v>
      </c>
      <c r="C70">
        <v>9.3845519999999993</v>
      </c>
      <c r="D70">
        <v>8.8589169999999999</v>
      </c>
      <c r="E70">
        <v>6.1932070000000001</v>
      </c>
      <c r="F70">
        <v>2.5167540000000002</v>
      </c>
      <c r="G70">
        <v>0.28414919999999999</v>
      </c>
      <c r="H70">
        <v>0.2183533</v>
      </c>
      <c r="I70">
        <v>0.30081180000000002</v>
      </c>
      <c r="J70">
        <v>1.1272279999999999</v>
      </c>
      <c r="K70">
        <v>1.8481749999999999</v>
      </c>
      <c r="L70">
        <v>4.6695250000000001</v>
      </c>
      <c r="M70">
        <v>9.1766970000000008</v>
      </c>
      <c r="N70" s="11">
        <f t="shared" si="4"/>
        <v>5.8562926666666657</v>
      </c>
      <c r="O70" s="11">
        <f t="shared" si="5"/>
        <v>0.26777143333333336</v>
      </c>
      <c r="P70" s="11">
        <f t="shared" si="6"/>
        <v>2.5483093333333335</v>
      </c>
      <c r="Q70" s="11">
        <f t="shared" si="7"/>
        <v>10.314129000000001</v>
      </c>
    </row>
    <row r="71" spans="1:17" x14ac:dyDescent="0.25">
      <c r="A71">
        <v>1970</v>
      </c>
      <c r="B71">
        <v>10.665039999999999</v>
      </c>
      <c r="C71">
        <v>11.10065</v>
      </c>
      <c r="D71">
        <v>9.3535160000000008</v>
      </c>
      <c r="E71">
        <v>6.2108150000000002</v>
      </c>
      <c r="F71">
        <v>2.285431</v>
      </c>
      <c r="G71">
        <v>-9.0576169999999998E-2</v>
      </c>
      <c r="H71">
        <v>0.73599239999999999</v>
      </c>
      <c r="I71">
        <v>0.196991</v>
      </c>
      <c r="J71">
        <v>2.2813720000000002</v>
      </c>
      <c r="K71">
        <v>3.1247859999999998</v>
      </c>
      <c r="L71">
        <v>4.533112</v>
      </c>
      <c r="M71">
        <v>6.0171809999999999</v>
      </c>
      <c r="N71" s="11">
        <f t="shared" si="4"/>
        <v>5.9499206666666673</v>
      </c>
      <c r="O71" s="11">
        <f t="shared" si="5"/>
        <v>0.28080241</v>
      </c>
      <c r="P71" s="11">
        <f t="shared" si="6"/>
        <v>3.3130900000000003</v>
      </c>
      <c r="Q71" s="11">
        <f t="shared" si="7"/>
        <v>7.6158140000000003</v>
      </c>
    </row>
    <row r="72" spans="1:17" x14ac:dyDescent="0.25">
      <c r="A72">
        <v>1971</v>
      </c>
      <c r="B72">
        <v>7.7846979999999997</v>
      </c>
      <c r="C72">
        <v>9.0455629999999996</v>
      </c>
      <c r="D72">
        <v>7.925446</v>
      </c>
      <c r="E72">
        <v>4.3791200000000003</v>
      </c>
      <c r="F72">
        <v>2.8670960000000001</v>
      </c>
      <c r="G72">
        <v>-0.83853149999999999</v>
      </c>
      <c r="H72">
        <v>0.81881709999999996</v>
      </c>
      <c r="I72">
        <v>0.39675899999999997</v>
      </c>
      <c r="J72">
        <v>2.0077820000000002</v>
      </c>
      <c r="K72">
        <v>3.8401489999999998</v>
      </c>
      <c r="L72">
        <v>4.9858089999999997</v>
      </c>
      <c r="M72">
        <v>6.3811340000000003</v>
      </c>
      <c r="N72" s="11">
        <f t="shared" si="4"/>
        <v>5.0572206666666668</v>
      </c>
      <c r="O72" s="11">
        <f t="shared" si="5"/>
        <v>0.12568153333333332</v>
      </c>
      <c r="P72" s="11">
        <f t="shared" si="6"/>
        <v>3.6112466666666663</v>
      </c>
      <c r="Q72" s="11">
        <f t="shared" si="7"/>
        <v>9.3227013333333328</v>
      </c>
    </row>
    <row r="73" spans="1:17" x14ac:dyDescent="0.25">
      <c r="A73">
        <v>1972</v>
      </c>
      <c r="B73">
        <v>11.004300000000001</v>
      </c>
      <c r="C73">
        <v>10.58267</v>
      </c>
      <c r="D73">
        <v>7.347137</v>
      </c>
      <c r="E73">
        <v>6.8439030000000001</v>
      </c>
      <c r="F73">
        <v>2.0962830000000001</v>
      </c>
      <c r="G73">
        <v>-0.1563416</v>
      </c>
      <c r="H73">
        <v>-0.44790649999999999</v>
      </c>
      <c r="I73">
        <v>0.2008972</v>
      </c>
      <c r="J73">
        <v>1.36496</v>
      </c>
      <c r="K73">
        <v>2.1158450000000002</v>
      </c>
      <c r="L73">
        <v>5.7646179999999996</v>
      </c>
      <c r="M73">
        <v>10.56467</v>
      </c>
      <c r="N73" s="11">
        <f t="shared" si="4"/>
        <v>5.4291076666666669</v>
      </c>
      <c r="O73" s="11">
        <f t="shared" si="5"/>
        <v>-0.13445029999999999</v>
      </c>
      <c r="P73" s="11">
        <f t="shared" si="6"/>
        <v>3.0818076666666663</v>
      </c>
      <c r="Q73" s="11">
        <f t="shared" si="7"/>
        <v>10.263896000000001</v>
      </c>
    </row>
    <row r="74" spans="1:17" x14ac:dyDescent="0.25">
      <c r="A74">
        <v>1973</v>
      </c>
      <c r="B74">
        <v>9.3047179999999994</v>
      </c>
      <c r="C74">
        <v>10.9223</v>
      </c>
      <c r="D74">
        <v>10.283910000000001</v>
      </c>
      <c r="E74">
        <v>5.8717350000000001</v>
      </c>
      <c r="F74">
        <v>2.8847960000000001</v>
      </c>
      <c r="G74">
        <v>0.95526120000000003</v>
      </c>
      <c r="H74">
        <v>-1.1089169999999999</v>
      </c>
      <c r="I74">
        <v>0.75595089999999998</v>
      </c>
      <c r="J74">
        <v>1.3266910000000001</v>
      </c>
      <c r="K74">
        <v>2.9366759999999998</v>
      </c>
      <c r="L74">
        <v>4.9317320000000002</v>
      </c>
      <c r="M74">
        <v>8.1781310000000005</v>
      </c>
      <c r="N74" s="11">
        <f t="shared" si="4"/>
        <v>6.3468136666666668</v>
      </c>
      <c r="O74" s="11">
        <f t="shared" si="5"/>
        <v>0.20076503333333337</v>
      </c>
      <c r="P74" s="11">
        <f t="shared" si="6"/>
        <v>3.0650329999999997</v>
      </c>
      <c r="Q74" s="11">
        <f t="shared" si="7"/>
        <v>8.9779869999999988</v>
      </c>
    </row>
    <row r="75" spans="1:17" x14ac:dyDescent="0.25">
      <c r="A75">
        <v>1974</v>
      </c>
      <c r="B75">
        <v>8.3101199999999995</v>
      </c>
      <c r="C75">
        <v>10.44571</v>
      </c>
      <c r="D75">
        <v>8.4261169999999996</v>
      </c>
      <c r="E75">
        <v>6.222321</v>
      </c>
      <c r="F75">
        <v>3.750092</v>
      </c>
      <c r="G75">
        <v>0.22583010000000001</v>
      </c>
      <c r="H75">
        <v>-0.27450560000000002</v>
      </c>
      <c r="I75">
        <v>-8.2489010000000001E-2</v>
      </c>
      <c r="J75">
        <v>1.1480710000000001</v>
      </c>
      <c r="K75">
        <v>3.346222</v>
      </c>
      <c r="L75">
        <v>3.9516300000000002</v>
      </c>
      <c r="M75">
        <v>9.0019840000000002</v>
      </c>
      <c r="N75" s="11">
        <f t="shared" si="4"/>
        <v>6.1328433333333328</v>
      </c>
      <c r="O75" s="11">
        <f t="shared" si="5"/>
        <v>-4.3721503333333335E-2</v>
      </c>
      <c r="P75" s="11">
        <f t="shared" si="6"/>
        <v>2.815307666666667</v>
      </c>
      <c r="Q75" s="11">
        <f t="shared" si="7"/>
        <v>10.575916999999999</v>
      </c>
    </row>
    <row r="76" spans="1:17" x14ac:dyDescent="0.25">
      <c r="A76">
        <v>1975</v>
      </c>
      <c r="B76">
        <v>12.76309</v>
      </c>
      <c r="C76">
        <v>9.9626769999999993</v>
      </c>
      <c r="D76">
        <v>9.6610720000000008</v>
      </c>
      <c r="E76">
        <v>5.8097839999999996</v>
      </c>
      <c r="F76">
        <v>3.2428889999999999</v>
      </c>
      <c r="G76">
        <v>1.414642</v>
      </c>
      <c r="H76">
        <v>-0.79275510000000005</v>
      </c>
      <c r="I76">
        <v>-0.45715329999999998</v>
      </c>
      <c r="J76">
        <v>1.569733</v>
      </c>
      <c r="K76">
        <v>2.546478</v>
      </c>
      <c r="L76">
        <v>3.5419619999999998</v>
      </c>
      <c r="M76">
        <v>4.8414609999999998</v>
      </c>
      <c r="N76" s="11">
        <f t="shared" si="4"/>
        <v>6.237915000000001</v>
      </c>
      <c r="O76" s="11">
        <f t="shared" si="5"/>
        <v>5.4911199999999973E-2</v>
      </c>
      <c r="P76" s="11">
        <f t="shared" si="6"/>
        <v>2.5527243333333334</v>
      </c>
      <c r="Q76" s="11">
        <f t="shared" si="7"/>
        <v>8.0830389999999994</v>
      </c>
    </row>
    <row r="77" spans="1:17" x14ac:dyDescent="0.25">
      <c r="A77">
        <v>1976</v>
      </c>
      <c r="B77">
        <v>8.4219059999999999</v>
      </c>
      <c r="C77">
        <v>10.985749999999999</v>
      </c>
      <c r="D77">
        <v>6.549652</v>
      </c>
      <c r="E77">
        <v>5.5537409999999996</v>
      </c>
      <c r="F77">
        <v>4.0135800000000001</v>
      </c>
      <c r="G77">
        <v>-0.63357540000000001</v>
      </c>
      <c r="H77">
        <v>-0.91076659999999998</v>
      </c>
      <c r="I77">
        <v>0.39523320000000001</v>
      </c>
      <c r="J77">
        <v>1.570587</v>
      </c>
      <c r="K77">
        <v>2.8138730000000001</v>
      </c>
      <c r="L77">
        <v>5.2465520000000003</v>
      </c>
      <c r="M77">
        <v>9.1357119999999998</v>
      </c>
      <c r="N77" s="11">
        <f t="shared" si="4"/>
        <v>5.3723243333333341</v>
      </c>
      <c r="O77" s="11">
        <f t="shared" si="5"/>
        <v>-0.38303626666666662</v>
      </c>
      <c r="P77" s="11">
        <f t="shared" si="6"/>
        <v>3.2103373333333334</v>
      </c>
      <c r="Q77" s="11">
        <f t="shared" si="7"/>
        <v>10.345570666666667</v>
      </c>
    </row>
    <row r="78" spans="1:17" x14ac:dyDescent="0.25">
      <c r="A78">
        <v>1977</v>
      </c>
      <c r="B78">
        <v>10.712070000000001</v>
      </c>
      <c r="C78">
        <v>11.188929999999999</v>
      </c>
      <c r="D78">
        <v>9.5749510000000004</v>
      </c>
      <c r="E78">
        <v>7.1716920000000002</v>
      </c>
      <c r="F78">
        <v>3.9873349999999999</v>
      </c>
      <c r="G78">
        <v>1.0982670000000001</v>
      </c>
      <c r="H78">
        <v>0.39431759999999999</v>
      </c>
      <c r="I78">
        <v>1.0533140000000001</v>
      </c>
      <c r="J78">
        <v>2.723541</v>
      </c>
      <c r="K78">
        <v>4.196625</v>
      </c>
      <c r="L78">
        <v>4.1623840000000003</v>
      </c>
      <c r="M78">
        <v>11.04468</v>
      </c>
      <c r="N78" s="11">
        <f t="shared" si="4"/>
        <v>6.9113259999999999</v>
      </c>
      <c r="O78" s="11">
        <f t="shared" si="5"/>
        <v>0.84863286666666671</v>
      </c>
      <c r="P78" s="11">
        <f t="shared" si="6"/>
        <v>3.6941833333333336</v>
      </c>
      <c r="Q78" s="11">
        <f t="shared" si="7"/>
        <v>11.992206666666666</v>
      </c>
    </row>
    <row r="79" spans="1:17" x14ac:dyDescent="0.25">
      <c r="A79">
        <v>1978</v>
      </c>
      <c r="B79">
        <v>11.04623</v>
      </c>
      <c r="C79">
        <v>13.88571</v>
      </c>
      <c r="D79">
        <v>9.9176330000000004</v>
      </c>
      <c r="E79">
        <v>8.5181579999999997</v>
      </c>
      <c r="F79">
        <v>4.9502870000000003</v>
      </c>
      <c r="G79">
        <v>6.9580079999999999E-3</v>
      </c>
      <c r="H79">
        <v>1.8736269999999999</v>
      </c>
      <c r="I79">
        <v>0.2281494</v>
      </c>
      <c r="J79">
        <v>2.5946959999999999</v>
      </c>
      <c r="K79">
        <v>2.829132</v>
      </c>
      <c r="L79">
        <v>6.3167419999999996</v>
      </c>
      <c r="M79">
        <v>11.10901</v>
      </c>
      <c r="N79" s="11">
        <f t="shared" si="4"/>
        <v>7.7953593333333338</v>
      </c>
      <c r="O79" s="11">
        <f t="shared" si="5"/>
        <v>0.70291146933333337</v>
      </c>
      <c r="P79" s="11">
        <f t="shared" si="6"/>
        <v>3.9135233333333335</v>
      </c>
      <c r="Q79" s="11">
        <f t="shared" si="7"/>
        <v>12.132689999999998</v>
      </c>
    </row>
    <row r="80" spans="1:17" x14ac:dyDescent="0.25">
      <c r="A80">
        <v>1979</v>
      </c>
      <c r="B80">
        <v>13.297639999999999</v>
      </c>
      <c r="C80">
        <v>11.99142</v>
      </c>
      <c r="D80">
        <v>10.29691</v>
      </c>
      <c r="E80">
        <v>7.7149960000000002</v>
      </c>
      <c r="F80">
        <v>3.7439879999999999</v>
      </c>
      <c r="G80">
        <v>0.41323850000000001</v>
      </c>
      <c r="H80">
        <v>0.69320680000000001</v>
      </c>
      <c r="I80">
        <v>1.5512999999999999</v>
      </c>
      <c r="J80">
        <v>1.0657350000000001</v>
      </c>
      <c r="K80">
        <v>3.1343079999999999</v>
      </c>
      <c r="L80">
        <v>5.2316589999999996</v>
      </c>
      <c r="M80">
        <v>10.419219999999999</v>
      </c>
      <c r="N80" s="11">
        <f t="shared" si="4"/>
        <v>7.2519646666666659</v>
      </c>
      <c r="O80" s="11">
        <f t="shared" si="5"/>
        <v>0.88591510000000007</v>
      </c>
      <c r="P80" s="11">
        <f t="shared" si="6"/>
        <v>3.1439006666666667</v>
      </c>
      <c r="Q80" s="11">
        <f t="shared" si="7"/>
        <v>11.524396666666668</v>
      </c>
    </row>
    <row r="81" spans="1:17" x14ac:dyDescent="0.25">
      <c r="A81">
        <v>1980</v>
      </c>
      <c r="B81">
        <v>12.525090000000001</v>
      </c>
      <c r="C81">
        <v>11.628880000000001</v>
      </c>
      <c r="D81">
        <v>10.274050000000001</v>
      </c>
      <c r="E81">
        <v>3.436188</v>
      </c>
      <c r="F81">
        <v>2.474396</v>
      </c>
      <c r="G81">
        <v>0.47335820000000001</v>
      </c>
      <c r="H81">
        <v>0.1493835</v>
      </c>
      <c r="I81">
        <v>1.699371</v>
      </c>
      <c r="J81">
        <v>2.7121279999999999</v>
      </c>
      <c r="K81">
        <v>3.8251040000000001</v>
      </c>
      <c r="L81">
        <v>5.0711360000000001</v>
      </c>
      <c r="M81">
        <v>9.9428409999999996</v>
      </c>
      <c r="N81" s="11">
        <f t="shared" si="4"/>
        <v>5.3948779999999994</v>
      </c>
      <c r="O81" s="11">
        <f t="shared" si="5"/>
        <v>0.77403756666666668</v>
      </c>
      <c r="P81" s="11">
        <f t="shared" si="6"/>
        <v>3.8694559999999996</v>
      </c>
      <c r="Q81" s="11">
        <f t="shared" si="7"/>
        <v>10.717323666666667</v>
      </c>
    </row>
    <row r="82" spans="1:17" x14ac:dyDescent="0.25">
      <c r="A82">
        <v>1981</v>
      </c>
      <c r="B82">
        <v>10.742610000000001</v>
      </c>
      <c r="C82">
        <v>11.466519999999999</v>
      </c>
      <c r="D82">
        <v>10.53595</v>
      </c>
      <c r="E82">
        <v>7.8109440000000001</v>
      </c>
      <c r="F82">
        <v>2.5686339999999999</v>
      </c>
      <c r="G82">
        <v>1.575836</v>
      </c>
      <c r="H82">
        <v>0.91931149999999995</v>
      </c>
      <c r="I82">
        <v>0.8308411</v>
      </c>
      <c r="J82">
        <v>1.169708</v>
      </c>
      <c r="K82">
        <v>3.6192929999999999</v>
      </c>
      <c r="L82">
        <v>6.7309270000000003</v>
      </c>
      <c r="M82">
        <v>9.6940609999999996</v>
      </c>
      <c r="N82" s="11">
        <f t="shared" si="4"/>
        <v>6.9718426666666664</v>
      </c>
      <c r="O82" s="11">
        <f t="shared" si="5"/>
        <v>1.1086628666666665</v>
      </c>
      <c r="P82" s="11">
        <f t="shared" si="6"/>
        <v>3.8399760000000001</v>
      </c>
      <c r="Q82" s="11">
        <f t="shared" si="7"/>
        <v>10.847343666666665</v>
      </c>
    </row>
    <row r="83" spans="1:17" x14ac:dyDescent="0.25">
      <c r="A83">
        <v>1982</v>
      </c>
      <c r="B83">
        <v>12.52628</v>
      </c>
      <c r="C83">
        <v>10.32169</v>
      </c>
      <c r="D83">
        <v>9.6366270000000007</v>
      </c>
      <c r="E83">
        <v>8.2071839999999998</v>
      </c>
      <c r="F83">
        <v>4.0928040000000001</v>
      </c>
      <c r="G83">
        <v>-1.085785</v>
      </c>
      <c r="H83">
        <v>0.13116459999999999</v>
      </c>
      <c r="I83">
        <v>1.2423709999999999</v>
      </c>
      <c r="J83">
        <v>2.8281559999999999</v>
      </c>
      <c r="K83">
        <v>2.5771480000000002</v>
      </c>
      <c r="L83">
        <v>4.5980530000000002</v>
      </c>
      <c r="M83">
        <v>10.792450000000001</v>
      </c>
      <c r="N83" s="11">
        <f t="shared" si="4"/>
        <v>7.3122050000000014</v>
      </c>
      <c r="O83" s="11">
        <f t="shared" si="5"/>
        <v>9.5916866666666614E-2</v>
      </c>
      <c r="P83" s="11">
        <f t="shared" si="6"/>
        <v>3.3344523333333336</v>
      </c>
      <c r="Q83" s="11">
        <f t="shared" si="7"/>
        <v>11.773263333333333</v>
      </c>
    </row>
    <row r="84" spans="1:17" x14ac:dyDescent="0.25">
      <c r="A84">
        <v>1983</v>
      </c>
      <c r="B84">
        <v>13.242889999999999</v>
      </c>
      <c r="C84">
        <v>11.28445</v>
      </c>
      <c r="D84">
        <v>9.6926570000000005</v>
      </c>
      <c r="E84">
        <v>6.373138</v>
      </c>
      <c r="F84">
        <v>3.1201479999999999</v>
      </c>
      <c r="G84">
        <v>-0.20019529999999999</v>
      </c>
      <c r="H84">
        <v>-0.183197</v>
      </c>
      <c r="I84">
        <v>1.174377</v>
      </c>
      <c r="J84">
        <v>1.3812260000000001</v>
      </c>
      <c r="K84">
        <v>4.2024840000000001</v>
      </c>
      <c r="L84">
        <v>8.0134279999999993</v>
      </c>
      <c r="M84">
        <v>12.81784</v>
      </c>
      <c r="N84" s="11">
        <f t="shared" si="4"/>
        <v>6.3953143333333342</v>
      </c>
      <c r="O84" s="11">
        <f t="shared" si="5"/>
        <v>0.26366156666666668</v>
      </c>
      <c r="P84" s="11">
        <f t="shared" si="6"/>
        <v>4.5323793333333331</v>
      </c>
      <c r="Q84" s="11">
        <f t="shared" si="7"/>
        <v>11.342660666666667</v>
      </c>
    </row>
    <row r="85" spans="1:17" x14ac:dyDescent="0.25">
      <c r="A85">
        <v>1984</v>
      </c>
      <c r="B85">
        <v>11.615080000000001</v>
      </c>
      <c r="C85">
        <v>9.5950620000000004</v>
      </c>
      <c r="D85">
        <v>10.48743</v>
      </c>
      <c r="E85">
        <v>5.0920719999999999</v>
      </c>
      <c r="F85">
        <v>1.2165220000000001</v>
      </c>
      <c r="G85">
        <v>-1.418274</v>
      </c>
      <c r="H85">
        <v>-0.81619260000000005</v>
      </c>
      <c r="I85">
        <v>0.85372919999999997</v>
      </c>
      <c r="J85">
        <v>3.0556950000000001</v>
      </c>
      <c r="K85">
        <v>2.6288149999999999</v>
      </c>
      <c r="L85">
        <v>6.2308960000000004</v>
      </c>
      <c r="M85">
        <v>9.6999510000000004</v>
      </c>
      <c r="N85" s="11">
        <f t="shared" si="4"/>
        <v>5.5986746666666667</v>
      </c>
      <c r="O85" s="11">
        <f t="shared" si="5"/>
        <v>-0.46024580000000004</v>
      </c>
      <c r="P85" s="11">
        <f t="shared" si="6"/>
        <v>3.9718020000000003</v>
      </c>
      <c r="Q85" s="11">
        <f t="shared" si="7"/>
        <v>10.459920333333335</v>
      </c>
    </row>
    <row r="86" spans="1:17" x14ac:dyDescent="0.25">
      <c r="A86">
        <v>1985</v>
      </c>
      <c r="B86">
        <v>11.177339999999999</v>
      </c>
      <c r="C86">
        <v>10.502470000000001</v>
      </c>
      <c r="D86">
        <v>7.9071959999999999</v>
      </c>
      <c r="E86">
        <v>4.2885439999999999</v>
      </c>
      <c r="F86">
        <v>2.7808229999999998</v>
      </c>
      <c r="G86">
        <v>2.4637150000000001</v>
      </c>
      <c r="H86">
        <v>0.91510009999999997</v>
      </c>
      <c r="I86">
        <v>1.116638</v>
      </c>
      <c r="J86">
        <v>2.410736</v>
      </c>
      <c r="K86">
        <v>3.8308409999999999</v>
      </c>
      <c r="L86">
        <v>10.15579</v>
      </c>
      <c r="M86">
        <v>10.77103</v>
      </c>
      <c r="N86" s="11">
        <f t="shared" si="4"/>
        <v>4.9921876666666671</v>
      </c>
      <c r="O86" s="11">
        <f t="shared" si="5"/>
        <v>1.498484366666667</v>
      </c>
      <c r="P86" s="11">
        <f t="shared" si="6"/>
        <v>5.465789</v>
      </c>
      <c r="Q86" s="11">
        <f t="shared" si="7"/>
        <v>10.637636666666666</v>
      </c>
    </row>
    <row r="87" spans="1:17" x14ac:dyDescent="0.25">
      <c r="A87">
        <v>1986</v>
      </c>
      <c r="B87">
        <v>10.50446</v>
      </c>
      <c r="C87">
        <v>10.637420000000001</v>
      </c>
      <c r="D87">
        <v>8.1870729999999998</v>
      </c>
      <c r="E87">
        <v>5.4725650000000003</v>
      </c>
      <c r="F87">
        <v>2.6236570000000001</v>
      </c>
      <c r="G87">
        <v>0.39065549999999999</v>
      </c>
      <c r="H87">
        <v>0.76663210000000004</v>
      </c>
      <c r="I87">
        <v>0.57723999999999998</v>
      </c>
      <c r="J87">
        <v>1.7463070000000001</v>
      </c>
      <c r="K87">
        <v>5.3067320000000002</v>
      </c>
      <c r="L87">
        <v>5.6748960000000004</v>
      </c>
      <c r="M87">
        <v>10.587429999999999</v>
      </c>
      <c r="N87" s="11">
        <f t="shared" si="4"/>
        <v>5.4277650000000008</v>
      </c>
      <c r="O87" s="11">
        <f t="shared" si="5"/>
        <v>0.57817586666666665</v>
      </c>
      <c r="P87" s="11">
        <f t="shared" si="6"/>
        <v>4.2426450000000004</v>
      </c>
      <c r="Q87" s="11">
        <f t="shared" si="7"/>
        <v>11.946980000000002</v>
      </c>
    </row>
    <row r="88" spans="1:17" x14ac:dyDescent="0.25">
      <c r="A88">
        <v>1987</v>
      </c>
      <c r="B88">
        <v>12.36581</v>
      </c>
      <c r="C88">
        <v>12.887700000000001</v>
      </c>
      <c r="D88">
        <v>10.757020000000001</v>
      </c>
      <c r="E88">
        <v>6.9029540000000003</v>
      </c>
      <c r="F88">
        <v>2.1439509999999999</v>
      </c>
      <c r="G88">
        <v>1.464539</v>
      </c>
      <c r="H88">
        <v>1.245941</v>
      </c>
      <c r="I88">
        <v>0.1850281</v>
      </c>
      <c r="J88">
        <v>1.787323</v>
      </c>
      <c r="K88">
        <v>4.9713440000000002</v>
      </c>
      <c r="L88">
        <v>9.3923649999999999</v>
      </c>
      <c r="M88">
        <v>9.32254</v>
      </c>
      <c r="N88" s="11">
        <f t="shared" si="4"/>
        <v>6.6013083333333347</v>
      </c>
      <c r="O88" s="11">
        <f t="shared" si="5"/>
        <v>0.96516936666666664</v>
      </c>
      <c r="P88" s="11">
        <f t="shared" si="6"/>
        <v>5.3836773333333339</v>
      </c>
      <c r="Q88" s="11">
        <f t="shared" si="7"/>
        <v>11.400880000000001</v>
      </c>
    </row>
    <row r="89" spans="1:17" x14ac:dyDescent="0.25">
      <c r="A89">
        <v>1988</v>
      </c>
      <c r="B89">
        <v>10.27216</v>
      </c>
      <c r="C89">
        <v>14.607939999999999</v>
      </c>
      <c r="D89">
        <v>9.6806339999999995</v>
      </c>
      <c r="E89">
        <v>6.3533020000000002</v>
      </c>
      <c r="F89">
        <v>2.8577880000000002</v>
      </c>
      <c r="G89">
        <v>0.93569950000000002</v>
      </c>
      <c r="H89">
        <v>-1.358276</v>
      </c>
      <c r="I89">
        <v>0.33834839999999999</v>
      </c>
      <c r="J89">
        <v>2.0296020000000001</v>
      </c>
      <c r="K89">
        <v>2.4891969999999999</v>
      </c>
      <c r="L89">
        <v>6.4494319999999998</v>
      </c>
      <c r="M89">
        <v>8.8408510000000007</v>
      </c>
      <c r="N89" s="11">
        <f t="shared" si="4"/>
        <v>6.297241333333333</v>
      </c>
      <c r="O89" s="11">
        <f t="shared" si="5"/>
        <v>-2.8076033333333344E-2</v>
      </c>
      <c r="P89" s="11">
        <f t="shared" si="6"/>
        <v>3.6560769999999998</v>
      </c>
      <c r="Q89" s="11">
        <f t="shared" si="7"/>
        <v>11.184447</v>
      </c>
    </row>
    <row r="90" spans="1:17" x14ac:dyDescent="0.25">
      <c r="A90">
        <v>1989</v>
      </c>
      <c r="B90">
        <v>12.013210000000001</v>
      </c>
      <c r="C90">
        <v>12.69928</v>
      </c>
      <c r="D90">
        <v>9.0155940000000001</v>
      </c>
      <c r="E90">
        <v>5.9632870000000002</v>
      </c>
      <c r="F90">
        <v>3.3661500000000002</v>
      </c>
      <c r="G90">
        <v>2.456512</v>
      </c>
      <c r="H90">
        <v>0.19863890000000001</v>
      </c>
      <c r="I90">
        <v>0.3348083</v>
      </c>
      <c r="J90">
        <v>1.898468</v>
      </c>
      <c r="K90">
        <v>4.1791080000000003</v>
      </c>
      <c r="L90">
        <v>8.4268490000000007</v>
      </c>
      <c r="M90">
        <v>9.1787109999999998</v>
      </c>
      <c r="N90" s="11">
        <f t="shared" si="4"/>
        <v>6.1150103333333341</v>
      </c>
      <c r="O90" s="11">
        <f t="shared" si="5"/>
        <v>0.99665306666666675</v>
      </c>
      <c r="P90" s="11">
        <f t="shared" si="6"/>
        <v>4.834808333333334</v>
      </c>
      <c r="Q90" s="11">
        <f t="shared" si="7"/>
        <v>11.216590333333334</v>
      </c>
    </row>
    <row r="91" spans="1:17" x14ac:dyDescent="0.25">
      <c r="A91">
        <v>1990</v>
      </c>
      <c r="B91">
        <v>10.71725</v>
      </c>
      <c r="C91">
        <v>13.75381</v>
      </c>
      <c r="D91">
        <v>9.0503850000000003</v>
      </c>
      <c r="E91">
        <v>4.8697809999999997</v>
      </c>
      <c r="F91">
        <v>2.3218990000000002</v>
      </c>
      <c r="G91">
        <v>0.44839479999999998</v>
      </c>
      <c r="H91">
        <v>0.28961179999999997</v>
      </c>
      <c r="I91">
        <v>1.146515</v>
      </c>
      <c r="J91">
        <v>1.8532409999999999</v>
      </c>
      <c r="K91">
        <v>4.3144229999999997</v>
      </c>
      <c r="L91">
        <v>6.9059749999999998</v>
      </c>
      <c r="M91">
        <v>9.4466249999999992</v>
      </c>
      <c r="N91" s="11">
        <f t="shared" si="4"/>
        <v>5.4140216666666667</v>
      </c>
      <c r="O91" s="11">
        <f t="shared" si="5"/>
        <v>0.62817386666666664</v>
      </c>
      <c r="P91" s="11">
        <f t="shared" si="6"/>
        <v>4.3578796666666664</v>
      </c>
      <c r="Q91" s="11">
        <f t="shared" si="7"/>
        <v>10.558035</v>
      </c>
    </row>
    <row r="92" spans="1:17" x14ac:dyDescent="0.25">
      <c r="A92">
        <v>1991</v>
      </c>
      <c r="B92">
        <v>10.859159999999999</v>
      </c>
      <c r="C92">
        <v>11.368320000000001</v>
      </c>
      <c r="D92">
        <v>9.4275210000000005</v>
      </c>
      <c r="E92">
        <v>6.3562320000000003</v>
      </c>
      <c r="F92">
        <v>2.8989560000000001</v>
      </c>
      <c r="G92">
        <v>0.96676640000000003</v>
      </c>
      <c r="H92">
        <v>-0.55728149999999999</v>
      </c>
      <c r="I92">
        <v>-0.4931335</v>
      </c>
      <c r="J92">
        <v>1.894012</v>
      </c>
      <c r="K92">
        <v>3.07077</v>
      </c>
      <c r="L92">
        <v>7.0040589999999998</v>
      </c>
      <c r="M92">
        <v>6.8783260000000004</v>
      </c>
      <c r="N92" s="11">
        <f t="shared" si="4"/>
        <v>6.2275696666666676</v>
      </c>
      <c r="O92" s="11">
        <f t="shared" si="5"/>
        <v>-2.7882866666666655E-2</v>
      </c>
      <c r="P92" s="11">
        <f t="shared" si="6"/>
        <v>3.9896136666666666</v>
      </c>
      <c r="Q92" s="11">
        <f t="shared" si="7"/>
        <v>10.341318666666668</v>
      </c>
    </row>
    <row r="93" spans="1:17" x14ac:dyDescent="0.25">
      <c r="A93">
        <v>1992</v>
      </c>
      <c r="B93">
        <v>13.99991</v>
      </c>
      <c r="C93">
        <v>10.145720000000001</v>
      </c>
      <c r="D93">
        <v>10.727080000000001</v>
      </c>
      <c r="E93">
        <v>4.5451969999999999</v>
      </c>
      <c r="F93">
        <v>0.62387079999999995</v>
      </c>
      <c r="G93">
        <v>-0.50402829999999998</v>
      </c>
      <c r="H93">
        <v>-1.9897769999999999</v>
      </c>
      <c r="I93">
        <v>0.86618039999999996</v>
      </c>
      <c r="J93">
        <v>1.7836909999999999</v>
      </c>
      <c r="K93">
        <v>2.302155</v>
      </c>
      <c r="L93">
        <v>6.3287050000000002</v>
      </c>
      <c r="M93">
        <v>8.7679749999999999</v>
      </c>
      <c r="N93" s="11">
        <f t="shared" si="4"/>
        <v>5.2987159333333338</v>
      </c>
      <c r="O93" s="11">
        <f t="shared" si="5"/>
        <v>-0.54254163333333338</v>
      </c>
      <c r="P93" s="11">
        <f t="shared" si="6"/>
        <v>3.471517</v>
      </c>
      <c r="Q93" s="11">
        <f t="shared" si="7"/>
        <v>10.470184999999999</v>
      </c>
    </row>
    <row r="94" spans="1:17" x14ac:dyDescent="0.25">
      <c r="A94">
        <v>1993</v>
      </c>
      <c r="B94">
        <v>10.1669</v>
      </c>
      <c r="C94">
        <v>12.475680000000001</v>
      </c>
      <c r="D94">
        <v>10.22617</v>
      </c>
      <c r="E94">
        <v>5.7966309999999996</v>
      </c>
      <c r="F94">
        <v>1.346527</v>
      </c>
      <c r="G94">
        <v>0.98074340000000004</v>
      </c>
      <c r="H94">
        <v>-0.55935670000000004</v>
      </c>
      <c r="I94">
        <v>0.90216059999999998</v>
      </c>
      <c r="J94">
        <v>2.2465519999999999</v>
      </c>
      <c r="K94">
        <v>3.9107970000000001</v>
      </c>
      <c r="L94">
        <v>6.5153499999999998</v>
      </c>
      <c r="M94">
        <v>9.1694949999999995</v>
      </c>
      <c r="N94" s="11">
        <f t="shared" si="4"/>
        <v>5.7897760000000007</v>
      </c>
      <c r="O94" s="11">
        <f t="shared" si="5"/>
        <v>0.44118243333333335</v>
      </c>
      <c r="P94" s="11">
        <f t="shared" si="6"/>
        <v>4.2242329999999999</v>
      </c>
      <c r="Q94" s="11">
        <f t="shared" si="7"/>
        <v>10.946941666666667</v>
      </c>
    </row>
    <row r="95" spans="1:17" x14ac:dyDescent="0.25">
      <c r="A95">
        <v>1994</v>
      </c>
      <c r="B95">
        <v>12.496370000000001</v>
      </c>
      <c r="C95">
        <v>11.17496</v>
      </c>
      <c r="D95">
        <v>10.846769999999999</v>
      </c>
      <c r="E95">
        <v>5.4450989999999999</v>
      </c>
      <c r="F95">
        <v>3.4160460000000001</v>
      </c>
      <c r="G95">
        <v>2.0444339999999999</v>
      </c>
      <c r="H95">
        <v>6.3476560000000001E-3</v>
      </c>
      <c r="I95">
        <v>0.57797240000000005</v>
      </c>
      <c r="J95">
        <v>1.664825</v>
      </c>
      <c r="K95">
        <v>3.4071349999999998</v>
      </c>
      <c r="L95">
        <v>5.9777529999999999</v>
      </c>
      <c r="M95">
        <v>9.9713130000000003</v>
      </c>
      <c r="N95" s="11">
        <f t="shared" si="4"/>
        <v>6.5693049999999999</v>
      </c>
      <c r="O95" s="11">
        <f t="shared" si="5"/>
        <v>0.87625135200000004</v>
      </c>
      <c r="P95" s="11">
        <f t="shared" si="6"/>
        <v>3.6832376666666669</v>
      </c>
      <c r="Q95" s="11">
        <f t="shared" si="7"/>
        <v>10.505921000000001</v>
      </c>
    </row>
    <row r="96" spans="1:17" x14ac:dyDescent="0.25">
      <c r="A96">
        <v>1995</v>
      </c>
      <c r="B96">
        <v>10.26688</v>
      </c>
      <c r="C96">
        <v>11.27957</v>
      </c>
      <c r="D96">
        <v>9.0053710000000002</v>
      </c>
      <c r="E96">
        <v>7.2254940000000003</v>
      </c>
      <c r="F96">
        <v>4.072845</v>
      </c>
      <c r="G96">
        <v>8.7738040000000003E-2</v>
      </c>
      <c r="H96">
        <v>-1.724945</v>
      </c>
      <c r="I96">
        <v>-0.61068730000000004</v>
      </c>
      <c r="J96">
        <v>1.846832</v>
      </c>
      <c r="K96">
        <v>3.4174500000000001</v>
      </c>
      <c r="L96">
        <v>7.1928099999999997</v>
      </c>
      <c r="M96">
        <v>13.400600000000001</v>
      </c>
      <c r="N96" s="11">
        <f t="shared" si="4"/>
        <v>6.7679033333333338</v>
      </c>
      <c r="O96" s="11">
        <f t="shared" si="5"/>
        <v>-0.74929808666666664</v>
      </c>
      <c r="P96" s="11">
        <f t="shared" si="6"/>
        <v>4.1523639999999995</v>
      </c>
      <c r="Q96" s="11">
        <f t="shared" si="7"/>
        <v>11.066314666666665</v>
      </c>
    </row>
    <row r="97" spans="1:17" x14ac:dyDescent="0.25">
      <c r="A97">
        <v>1996</v>
      </c>
      <c r="B97">
        <v>10.17313</v>
      </c>
      <c r="C97">
        <v>9.6252139999999997</v>
      </c>
      <c r="D97">
        <v>9.7648010000000003</v>
      </c>
      <c r="E97">
        <v>5.0333860000000001</v>
      </c>
      <c r="F97">
        <v>3.5089419999999998</v>
      </c>
      <c r="G97">
        <v>-0.75982669999999997</v>
      </c>
      <c r="H97">
        <v>0.97213749999999999</v>
      </c>
      <c r="I97">
        <v>1.285004</v>
      </c>
      <c r="J97">
        <v>1.936005</v>
      </c>
      <c r="K97">
        <v>5.0454410000000003</v>
      </c>
      <c r="L97">
        <v>7.1388239999999996</v>
      </c>
      <c r="M97">
        <v>9.776154</v>
      </c>
      <c r="N97" s="11">
        <f t="shared" ref="N97:N122" si="8">IF(AND(ISNUMBER(D97),ISNUMBER(E97),ISNUMBER(F97)),AVERAGE(D97:F97),"")</f>
        <v>6.102376333333333</v>
      </c>
      <c r="O97" s="11">
        <f t="shared" ref="O97:O122" si="9">IF(AND(ISNUMBER(G97),ISNUMBER(H97),ISNUMBER(I97)),AVERAGE(G97:I97),"")</f>
        <v>0.49910493333333333</v>
      </c>
      <c r="P97" s="11">
        <f t="shared" ref="P97:P122" si="10">IF(AND(ISNUMBER(J97),ISNUMBER(K97),ISNUMBER(L97)),AVERAGE(J97:L97),"")</f>
        <v>4.7067566666666663</v>
      </c>
      <c r="Q97" s="11">
        <f t="shared" ref="Q97:Q122" si="11">IF(AND(ISNUMBER(M97),ISNUMBER(B98),ISNUMBER(C98)),AVERAGE(M97,B98:C98),"")</f>
        <v>10.294668</v>
      </c>
    </row>
    <row r="98" spans="1:17" x14ac:dyDescent="0.25">
      <c r="A98">
        <v>1997</v>
      </c>
      <c r="B98">
        <v>11.0593</v>
      </c>
      <c r="C98">
        <v>10.048550000000001</v>
      </c>
      <c r="D98">
        <v>11.53641</v>
      </c>
      <c r="E98">
        <v>7.7516480000000003</v>
      </c>
      <c r="F98">
        <v>4.4031070000000003</v>
      </c>
      <c r="G98">
        <v>1.5410459999999999</v>
      </c>
      <c r="H98">
        <v>0.71688839999999998</v>
      </c>
      <c r="I98">
        <v>0.56640619999999997</v>
      </c>
      <c r="J98">
        <v>1.6810909999999999</v>
      </c>
      <c r="K98">
        <v>2.7757260000000001</v>
      </c>
      <c r="L98">
        <v>6.2334290000000001</v>
      </c>
      <c r="M98">
        <v>9.6302800000000008</v>
      </c>
      <c r="N98" s="11">
        <f t="shared" si="8"/>
        <v>7.897054999999999</v>
      </c>
      <c r="O98" s="11">
        <f t="shared" si="9"/>
        <v>0.94144686666666655</v>
      </c>
      <c r="P98" s="11">
        <f t="shared" si="10"/>
        <v>3.5634153333333334</v>
      </c>
      <c r="Q98" s="11">
        <f t="shared" si="11"/>
        <v>10.905926666666666</v>
      </c>
    </row>
    <row r="99" spans="1:17" x14ac:dyDescent="0.25">
      <c r="A99">
        <v>1998</v>
      </c>
      <c r="B99">
        <v>10.402469999999999</v>
      </c>
      <c r="C99">
        <v>12.685029999999999</v>
      </c>
      <c r="D99">
        <v>9.1977840000000004</v>
      </c>
      <c r="E99">
        <v>6.7715759999999996</v>
      </c>
      <c r="F99">
        <v>6.4073789999999997</v>
      </c>
      <c r="G99">
        <v>2.2053530000000001</v>
      </c>
      <c r="H99">
        <v>1.2795099999999999</v>
      </c>
      <c r="I99">
        <v>0.92050169999999998</v>
      </c>
      <c r="J99">
        <v>1.26474</v>
      </c>
      <c r="K99">
        <v>4.7890319999999997</v>
      </c>
      <c r="L99">
        <v>7.9983829999999996</v>
      </c>
      <c r="M99">
        <v>10.533810000000001</v>
      </c>
      <c r="N99" s="11">
        <f t="shared" si="8"/>
        <v>7.4589129999999999</v>
      </c>
      <c r="O99" s="11">
        <f t="shared" si="9"/>
        <v>1.4684549</v>
      </c>
      <c r="P99" s="11">
        <f t="shared" si="10"/>
        <v>4.6840516666666661</v>
      </c>
      <c r="Q99" s="11">
        <f t="shared" si="11"/>
        <v>12.144273333333336</v>
      </c>
    </row>
    <row r="100" spans="1:17" x14ac:dyDescent="0.25">
      <c r="A100">
        <v>1999</v>
      </c>
      <c r="B100">
        <v>13.71246</v>
      </c>
      <c r="C100">
        <v>12.18655</v>
      </c>
      <c r="D100">
        <v>9.3855900000000005</v>
      </c>
      <c r="E100">
        <v>6.2319339999999999</v>
      </c>
      <c r="F100">
        <v>3.414825</v>
      </c>
      <c r="G100">
        <v>-0.32528689999999999</v>
      </c>
      <c r="H100">
        <v>-0.52456670000000005</v>
      </c>
      <c r="I100">
        <v>1.1650700000000001</v>
      </c>
      <c r="J100">
        <v>2.5612180000000002</v>
      </c>
      <c r="K100">
        <v>5.3597720000000004</v>
      </c>
      <c r="L100">
        <v>8.8374939999999995</v>
      </c>
      <c r="M100">
        <v>10.28912</v>
      </c>
      <c r="N100" s="11">
        <f t="shared" si="8"/>
        <v>6.344116333333333</v>
      </c>
      <c r="O100" s="11">
        <f t="shared" si="9"/>
        <v>0.10507213333333332</v>
      </c>
      <c r="P100" s="11">
        <f t="shared" si="10"/>
        <v>5.5861613333333331</v>
      </c>
      <c r="Q100" s="11">
        <f t="shared" si="11"/>
        <v>10.399016666666666</v>
      </c>
    </row>
    <row r="101" spans="1:17" x14ac:dyDescent="0.25">
      <c r="A101">
        <v>2000</v>
      </c>
      <c r="B101">
        <v>10.85013</v>
      </c>
      <c r="C101">
        <v>10.0578</v>
      </c>
      <c r="D101">
        <v>8.1043400000000005</v>
      </c>
      <c r="E101">
        <v>6.7754209999999997</v>
      </c>
      <c r="F101">
        <v>3.3362120000000002</v>
      </c>
      <c r="G101">
        <v>0.60964969999999996</v>
      </c>
      <c r="H101">
        <v>-0.56069950000000002</v>
      </c>
      <c r="I101">
        <v>0.61425779999999996</v>
      </c>
      <c r="J101">
        <v>0.87869260000000005</v>
      </c>
      <c r="K101">
        <v>3.9811709999999998</v>
      </c>
      <c r="L101">
        <v>5.4057919999999999</v>
      </c>
      <c r="M101">
        <v>8.5135799999999993</v>
      </c>
      <c r="N101" s="11">
        <f t="shared" si="8"/>
        <v>6.0719910000000006</v>
      </c>
      <c r="O101" s="11">
        <f t="shared" si="9"/>
        <v>0.22106933333333331</v>
      </c>
      <c r="P101" s="11">
        <f t="shared" si="10"/>
        <v>3.4218851999999997</v>
      </c>
      <c r="Q101" s="11">
        <f t="shared" si="11"/>
        <v>9.7874333333333343</v>
      </c>
    </row>
    <row r="102" spans="1:17" x14ac:dyDescent="0.25">
      <c r="A102">
        <v>2001</v>
      </c>
      <c r="B102">
        <v>10.095549999999999</v>
      </c>
      <c r="C102">
        <v>10.753170000000001</v>
      </c>
      <c r="D102">
        <v>8.8893430000000002</v>
      </c>
      <c r="E102">
        <v>5.4962160000000004</v>
      </c>
      <c r="F102">
        <v>2.8264469999999999</v>
      </c>
      <c r="G102">
        <v>0.93399049999999995</v>
      </c>
      <c r="H102">
        <v>-0.26748660000000002</v>
      </c>
      <c r="I102">
        <v>1.5760190000000001</v>
      </c>
      <c r="J102">
        <v>2.471832</v>
      </c>
      <c r="K102">
        <v>5.3393249999999997</v>
      </c>
      <c r="L102">
        <v>6.5111999999999997</v>
      </c>
      <c r="M102">
        <v>12.13101</v>
      </c>
      <c r="N102" s="11">
        <f t="shared" si="8"/>
        <v>5.7373353333333341</v>
      </c>
      <c r="O102" s="11">
        <f t="shared" si="9"/>
        <v>0.74750763333333337</v>
      </c>
      <c r="P102" s="11">
        <f t="shared" si="10"/>
        <v>4.7741189999999998</v>
      </c>
      <c r="Q102" s="11">
        <f t="shared" si="11"/>
        <v>12.453440000000001</v>
      </c>
    </row>
    <row r="103" spans="1:17" x14ac:dyDescent="0.25">
      <c r="A103">
        <v>2002</v>
      </c>
      <c r="B103">
        <v>12.19473</v>
      </c>
      <c r="C103">
        <v>13.03458</v>
      </c>
      <c r="D103">
        <v>7.8156429999999997</v>
      </c>
      <c r="E103">
        <v>4.6826480000000004</v>
      </c>
      <c r="F103">
        <v>3.6892399999999999</v>
      </c>
      <c r="G103">
        <v>-1.2212829999999999</v>
      </c>
      <c r="H103">
        <v>0.83233639999999998</v>
      </c>
      <c r="I103">
        <v>1.471344</v>
      </c>
      <c r="J103">
        <v>2.0381469999999999</v>
      </c>
      <c r="K103">
        <v>2.628876</v>
      </c>
      <c r="L103">
        <v>4.6508789999999998</v>
      </c>
      <c r="M103">
        <v>9.9632260000000006</v>
      </c>
      <c r="N103" s="11">
        <f t="shared" si="8"/>
        <v>5.3958436666666669</v>
      </c>
      <c r="O103" s="11">
        <f t="shared" si="9"/>
        <v>0.36079913333333336</v>
      </c>
      <c r="P103" s="11">
        <f t="shared" si="10"/>
        <v>3.1059673333333335</v>
      </c>
      <c r="Q103" s="11">
        <f t="shared" si="11"/>
        <v>10.362192</v>
      </c>
    </row>
    <row r="104" spans="1:17" x14ac:dyDescent="0.25">
      <c r="A104">
        <v>2003</v>
      </c>
      <c r="B104">
        <v>10.82428</v>
      </c>
      <c r="C104">
        <v>10.29907</v>
      </c>
      <c r="D104">
        <v>11.12543</v>
      </c>
      <c r="E104">
        <v>6.1736760000000004</v>
      </c>
      <c r="F104">
        <v>4.3872989999999996</v>
      </c>
      <c r="G104">
        <v>1.476105</v>
      </c>
      <c r="H104">
        <v>0.3812256</v>
      </c>
      <c r="I104">
        <v>1.10318</v>
      </c>
      <c r="J104">
        <v>2.1418149999999998</v>
      </c>
      <c r="K104">
        <v>3.6676639999999998</v>
      </c>
      <c r="L104">
        <v>6.4178160000000002</v>
      </c>
      <c r="M104">
        <v>6.8601989999999997</v>
      </c>
      <c r="N104" s="11">
        <f t="shared" si="8"/>
        <v>7.2288016666666666</v>
      </c>
      <c r="O104" s="11">
        <f t="shared" si="9"/>
        <v>0.9868368666666667</v>
      </c>
      <c r="P104" s="11">
        <f t="shared" si="10"/>
        <v>4.0757649999999996</v>
      </c>
      <c r="Q104" s="11">
        <f t="shared" si="11"/>
        <v>11.212179666666666</v>
      </c>
    </row>
    <row r="105" spans="1:17" x14ac:dyDescent="0.25">
      <c r="A105">
        <v>2004</v>
      </c>
      <c r="B105">
        <v>12.969329999999999</v>
      </c>
      <c r="C105">
        <v>13.80701</v>
      </c>
      <c r="D105">
        <v>10.68976</v>
      </c>
      <c r="E105">
        <v>5.7596129999999999</v>
      </c>
      <c r="F105">
        <v>3.2537539999999998</v>
      </c>
      <c r="G105">
        <v>1.6457820000000001</v>
      </c>
      <c r="H105">
        <v>0.39053339999999998</v>
      </c>
      <c r="I105">
        <v>1.034637</v>
      </c>
      <c r="J105">
        <v>1.8895569999999999</v>
      </c>
      <c r="K105">
        <v>3.8987430000000001</v>
      </c>
      <c r="L105">
        <v>7.9635309999999997</v>
      </c>
      <c r="M105">
        <v>9.6078799999999998</v>
      </c>
      <c r="N105" s="11">
        <f t="shared" si="8"/>
        <v>6.5677090000000007</v>
      </c>
      <c r="O105" s="11">
        <f t="shared" si="9"/>
        <v>1.0236508</v>
      </c>
      <c r="P105" s="11">
        <f t="shared" si="10"/>
        <v>4.5839436666666664</v>
      </c>
      <c r="Q105" s="11">
        <f t="shared" si="11"/>
        <v>11.515189999999999</v>
      </c>
    </row>
    <row r="106" spans="1:17" x14ac:dyDescent="0.25">
      <c r="A106">
        <v>2005</v>
      </c>
      <c r="B106">
        <v>10.21152</v>
      </c>
      <c r="C106">
        <v>14.72617</v>
      </c>
      <c r="D106">
        <v>8.6585389999999993</v>
      </c>
      <c r="E106">
        <v>5.224945</v>
      </c>
      <c r="F106">
        <v>1.7861940000000001</v>
      </c>
      <c r="G106">
        <v>-0.15826419999999999</v>
      </c>
      <c r="H106">
        <v>0.51959230000000001</v>
      </c>
      <c r="I106">
        <v>-0.22286990000000001</v>
      </c>
      <c r="J106">
        <v>2.009125</v>
      </c>
      <c r="K106">
        <v>3.2904659999999999</v>
      </c>
      <c r="L106">
        <v>6.6045230000000004</v>
      </c>
      <c r="M106">
        <v>10.73175</v>
      </c>
      <c r="N106" s="11">
        <f t="shared" si="8"/>
        <v>5.2232259999999995</v>
      </c>
      <c r="O106" s="11">
        <f t="shared" si="9"/>
        <v>4.6152733333333341E-2</v>
      </c>
      <c r="P106" s="11">
        <f t="shared" si="10"/>
        <v>3.968038</v>
      </c>
      <c r="Q106" s="11">
        <f t="shared" si="11"/>
        <v>11.885019999999999</v>
      </c>
    </row>
    <row r="107" spans="1:17" x14ac:dyDescent="0.25">
      <c r="A107">
        <v>2006</v>
      </c>
      <c r="B107">
        <v>11.176450000000001</v>
      </c>
      <c r="C107">
        <v>13.74686</v>
      </c>
      <c r="D107">
        <v>8.3216249999999992</v>
      </c>
      <c r="E107">
        <v>6.488251</v>
      </c>
      <c r="F107">
        <v>3.0902400000000001</v>
      </c>
      <c r="G107">
        <v>1.464874</v>
      </c>
      <c r="H107">
        <v>0.2962341</v>
      </c>
      <c r="I107">
        <v>0.79809569999999996</v>
      </c>
      <c r="J107">
        <v>1.731506</v>
      </c>
      <c r="K107">
        <v>2.9606020000000002</v>
      </c>
      <c r="L107">
        <v>5.9799800000000003</v>
      </c>
      <c r="M107">
        <v>8.2365720000000007</v>
      </c>
      <c r="N107" s="11">
        <f t="shared" si="8"/>
        <v>5.9667053333333335</v>
      </c>
      <c r="O107" s="11">
        <f t="shared" si="9"/>
        <v>0.85306793333333319</v>
      </c>
      <c r="P107" s="11">
        <f t="shared" si="10"/>
        <v>3.5573626666666667</v>
      </c>
      <c r="Q107" s="11">
        <f t="shared" si="11"/>
        <v>10.128214000000002</v>
      </c>
    </row>
    <row r="108" spans="1:17" x14ac:dyDescent="0.25">
      <c r="A108">
        <v>2007</v>
      </c>
      <c r="B108">
        <v>11.88156</v>
      </c>
      <c r="C108">
        <v>10.26651</v>
      </c>
      <c r="D108">
        <v>9.9401550000000007</v>
      </c>
      <c r="E108">
        <v>5.6974790000000004</v>
      </c>
      <c r="F108">
        <v>1.9686889999999999</v>
      </c>
      <c r="G108">
        <v>-0.39559939999999999</v>
      </c>
      <c r="H108">
        <v>-1.1492</v>
      </c>
      <c r="I108">
        <v>-1.846527</v>
      </c>
      <c r="J108">
        <v>2.0286559999999998</v>
      </c>
      <c r="K108">
        <v>2.770416</v>
      </c>
      <c r="L108">
        <v>4.9547119999999998</v>
      </c>
      <c r="M108">
        <v>9.5361630000000002</v>
      </c>
      <c r="N108" s="11">
        <f t="shared" si="8"/>
        <v>5.8687743333333344</v>
      </c>
      <c r="O108" s="11">
        <f t="shared" si="9"/>
        <v>-1.1304421333333334</v>
      </c>
      <c r="P108" s="11">
        <f t="shared" si="10"/>
        <v>3.2512613333333333</v>
      </c>
      <c r="Q108" s="11">
        <f t="shared" si="11"/>
        <v>12.453837666666667</v>
      </c>
    </row>
    <row r="109" spans="1:17" x14ac:dyDescent="0.25">
      <c r="A109">
        <v>2008</v>
      </c>
      <c r="B109">
        <v>12.7554</v>
      </c>
      <c r="C109">
        <v>15.06995</v>
      </c>
      <c r="D109">
        <v>11.14789</v>
      </c>
      <c r="E109">
        <v>5.7411500000000002</v>
      </c>
      <c r="F109">
        <v>3.0984189999999998</v>
      </c>
      <c r="G109">
        <v>1.160919</v>
      </c>
      <c r="H109">
        <v>0.54873660000000002</v>
      </c>
      <c r="I109">
        <v>0.36743160000000002</v>
      </c>
      <c r="J109">
        <v>2.3607480000000001</v>
      </c>
      <c r="K109">
        <v>4.1097109999999999</v>
      </c>
      <c r="L109">
        <v>8.7880549999999999</v>
      </c>
      <c r="M109">
        <v>12.41629</v>
      </c>
      <c r="N109" s="11">
        <f t="shared" si="8"/>
        <v>6.6624863333333337</v>
      </c>
      <c r="O109" s="11">
        <f t="shared" si="9"/>
        <v>0.69236240000000004</v>
      </c>
      <c r="P109" s="11">
        <f t="shared" si="10"/>
        <v>5.0861713333333336</v>
      </c>
      <c r="Q109" s="11">
        <f t="shared" si="11"/>
        <v>12.074613333333332</v>
      </c>
    </row>
    <row r="110" spans="1:17" x14ac:dyDescent="0.25">
      <c r="A110">
        <v>2009</v>
      </c>
      <c r="B110">
        <v>12.52084</v>
      </c>
      <c r="C110">
        <v>11.286709999999999</v>
      </c>
      <c r="D110">
        <v>10.594329999999999</v>
      </c>
      <c r="E110">
        <v>8.2173770000000008</v>
      </c>
      <c r="F110">
        <v>3.06134</v>
      </c>
      <c r="G110">
        <v>1.2090449999999999</v>
      </c>
      <c r="H110">
        <v>-0.30599979999999999</v>
      </c>
      <c r="I110">
        <v>1.595612</v>
      </c>
      <c r="J110">
        <v>1.4659120000000001</v>
      </c>
      <c r="K110">
        <v>2.427155</v>
      </c>
      <c r="L110">
        <v>2.8311459999999999</v>
      </c>
      <c r="M110">
        <v>7.6138000000000003</v>
      </c>
      <c r="N110" s="11">
        <f t="shared" si="8"/>
        <v>7.2910156666666666</v>
      </c>
      <c r="O110" s="11">
        <f t="shared" si="9"/>
        <v>0.83288573333333338</v>
      </c>
      <c r="P110" s="11">
        <f t="shared" si="10"/>
        <v>2.2414043333333336</v>
      </c>
      <c r="Q110" s="11">
        <f t="shared" si="11"/>
        <v>9.3441860000000005</v>
      </c>
    </row>
    <row r="111" spans="1:17" x14ac:dyDescent="0.25">
      <c r="A111">
        <v>2010</v>
      </c>
      <c r="B111">
        <v>10.43008</v>
      </c>
      <c r="C111">
        <v>9.9886780000000002</v>
      </c>
      <c r="D111">
        <v>11.01144</v>
      </c>
      <c r="E111">
        <v>5.8005069999999996</v>
      </c>
      <c r="F111">
        <v>2.2370909999999999</v>
      </c>
      <c r="G111">
        <v>1.519684</v>
      </c>
      <c r="H111">
        <v>-0.53976440000000003</v>
      </c>
      <c r="I111">
        <v>-0.3269958</v>
      </c>
      <c r="J111">
        <v>2.1286320000000001</v>
      </c>
      <c r="K111">
        <v>4.07254</v>
      </c>
      <c r="L111">
        <v>7.4301760000000003</v>
      </c>
      <c r="M111">
        <v>8.5306090000000001</v>
      </c>
      <c r="N111" s="11">
        <f t="shared" si="8"/>
        <v>6.3496793333333335</v>
      </c>
      <c r="O111" s="11">
        <f t="shared" si="9"/>
        <v>0.21764126666666664</v>
      </c>
      <c r="P111" s="11">
        <f t="shared" si="10"/>
        <v>4.5437826666666661</v>
      </c>
      <c r="Q111" s="11">
        <f t="shared" si="11"/>
        <v>11.065319666666667</v>
      </c>
    </row>
    <row r="112" spans="1:17" x14ac:dyDescent="0.25">
      <c r="A112">
        <v>2011</v>
      </c>
      <c r="B112">
        <v>11.95853</v>
      </c>
      <c r="C112">
        <v>12.70682</v>
      </c>
      <c r="D112">
        <v>8.8062129999999996</v>
      </c>
      <c r="E112">
        <v>5.7115780000000003</v>
      </c>
      <c r="F112">
        <v>3.2196959999999999</v>
      </c>
      <c r="G112">
        <v>1.006348</v>
      </c>
      <c r="H112">
        <v>-0.31228640000000002</v>
      </c>
      <c r="I112">
        <v>0.21203610000000001</v>
      </c>
      <c r="J112">
        <v>2.438507</v>
      </c>
      <c r="K112">
        <v>3.786041</v>
      </c>
      <c r="L112">
        <v>6.7860110000000002</v>
      </c>
      <c r="M112">
        <v>12.661289999999999</v>
      </c>
      <c r="N112" s="11">
        <f t="shared" si="8"/>
        <v>5.9124956666666657</v>
      </c>
      <c r="O112" s="11">
        <f t="shared" si="9"/>
        <v>0.30203256666666661</v>
      </c>
      <c r="P112" s="11">
        <f t="shared" si="10"/>
        <v>4.3368530000000005</v>
      </c>
      <c r="Q112" s="11">
        <f t="shared" si="11"/>
        <v>12.596856666666666</v>
      </c>
    </row>
    <row r="113" spans="1:17" x14ac:dyDescent="0.25">
      <c r="A113">
        <v>2012</v>
      </c>
      <c r="B113">
        <v>14.385439999999999</v>
      </c>
      <c r="C113">
        <v>10.743840000000001</v>
      </c>
      <c r="D113">
        <v>10.75381</v>
      </c>
      <c r="E113">
        <v>6.2647089999999999</v>
      </c>
      <c r="F113">
        <v>3.4018250000000001</v>
      </c>
      <c r="G113">
        <v>-1.5594480000000001E-2</v>
      </c>
      <c r="H113">
        <v>-0.61837770000000003</v>
      </c>
      <c r="I113">
        <v>0.85275270000000003</v>
      </c>
      <c r="J113">
        <v>2.6003720000000001</v>
      </c>
      <c r="K113">
        <v>3.4908450000000002</v>
      </c>
      <c r="L113">
        <v>7.7643129999999996</v>
      </c>
      <c r="M113">
        <v>7.3690490000000004</v>
      </c>
      <c r="N113" s="11">
        <f t="shared" si="8"/>
        <v>6.8067813333333325</v>
      </c>
      <c r="O113" s="11">
        <f t="shared" si="9"/>
        <v>7.2926840000000007E-2</v>
      </c>
      <c r="P113" s="11">
        <f t="shared" si="10"/>
        <v>4.6185099999999997</v>
      </c>
      <c r="Q113" s="11">
        <f t="shared" si="11"/>
        <v>11.677539666666666</v>
      </c>
    </row>
    <row r="114" spans="1:17" x14ac:dyDescent="0.25">
      <c r="A114">
        <v>2013</v>
      </c>
      <c r="B114">
        <v>14.92764</v>
      </c>
      <c r="C114">
        <v>12.73593</v>
      </c>
      <c r="D114">
        <v>8.993805</v>
      </c>
      <c r="E114">
        <v>7.8736879999999996</v>
      </c>
      <c r="F114">
        <v>3.7839659999999999</v>
      </c>
      <c r="G114">
        <v>1.291901</v>
      </c>
      <c r="H114">
        <v>0.15246580000000001</v>
      </c>
      <c r="I114">
        <v>0.12847900000000001</v>
      </c>
      <c r="J114">
        <v>1.0095209999999999</v>
      </c>
      <c r="K114">
        <v>4.26004</v>
      </c>
      <c r="L114">
        <v>7.0406190000000004</v>
      </c>
      <c r="M114">
        <v>11.845789999999999</v>
      </c>
      <c r="N114" s="11">
        <f t="shared" si="8"/>
        <v>6.8838196666666667</v>
      </c>
      <c r="O114" s="11">
        <f t="shared" si="9"/>
        <v>0.52428193333333339</v>
      </c>
      <c r="P114" s="11">
        <f t="shared" si="10"/>
        <v>4.103393333333333</v>
      </c>
      <c r="Q114" s="11">
        <f t="shared" si="11"/>
        <v>11.389056666666667</v>
      </c>
    </row>
    <row r="115" spans="1:17" x14ac:dyDescent="0.25">
      <c r="A115">
        <v>2014</v>
      </c>
      <c r="B115">
        <v>11.336180000000001</v>
      </c>
      <c r="C115">
        <v>10.985200000000001</v>
      </c>
      <c r="D115">
        <v>8.5125430000000009</v>
      </c>
      <c r="E115">
        <v>5.5877379999999999</v>
      </c>
      <c r="F115">
        <v>3.8395079999999999</v>
      </c>
      <c r="G115">
        <v>0.90588380000000002</v>
      </c>
      <c r="H115">
        <v>0.99069209999999996</v>
      </c>
      <c r="I115">
        <v>2.1663510000000001</v>
      </c>
      <c r="J115">
        <v>2.1148069999999999</v>
      </c>
      <c r="K115">
        <v>3.8174130000000002</v>
      </c>
      <c r="L115">
        <v>6.2043150000000002</v>
      </c>
      <c r="M115">
        <v>9.7152399999999997</v>
      </c>
      <c r="N115" s="11">
        <f t="shared" si="8"/>
        <v>5.979929666666667</v>
      </c>
      <c r="O115" s="11">
        <f t="shared" si="9"/>
        <v>1.3543089666666666</v>
      </c>
      <c r="P115" s="11">
        <f t="shared" si="10"/>
        <v>4.0455116666666671</v>
      </c>
      <c r="Q115" s="11">
        <f t="shared" si="11"/>
        <v>11.587533333333333</v>
      </c>
    </row>
    <row r="116" spans="1:17" x14ac:dyDescent="0.25">
      <c r="A116">
        <v>2015</v>
      </c>
      <c r="B116">
        <v>12.511200000000001</v>
      </c>
      <c r="C116">
        <v>12.536160000000001</v>
      </c>
      <c r="D116">
        <v>10.906650000000001</v>
      </c>
      <c r="E116">
        <v>7.5650329999999997</v>
      </c>
      <c r="F116">
        <v>4.4095149999999999</v>
      </c>
      <c r="G116">
        <v>1.267792</v>
      </c>
      <c r="H116">
        <v>0.77285769999999998</v>
      </c>
      <c r="I116">
        <v>1.3437809999999999</v>
      </c>
      <c r="J116">
        <v>1.401581</v>
      </c>
      <c r="K116">
        <v>2.9467159999999999</v>
      </c>
      <c r="L116">
        <v>6.4487610000000002</v>
      </c>
      <c r="M116">
        <v>10.014559999999999</v>
      </c>
      <c r="N116" s="11">
        <f t="shared" si="8"/>
        <v>7.6270659999999992</v>
      </c>
      <c r="O116" s="11">
        <f t="shared" si="9"/>
        <v>1.1281435666666666</v>
      </c>
      <c r="P116" s="11">
        <f t="shared" si="10"/>
        <v>3.5990193333333331</v>
      </c>
      <c r="Q116" s="11">
        <f t="shared" si="11"/>
        <v>11.797363333333331</v>
      </c>
    </row>
    <row r="117" spans="1:17" x14ac:dyDescent="0.25">
      <c r="A117">
        <v>2016</v>
      </c>
      <c r="B117">
        <v>13.5809</v>
      </c>
      <c r="C117">
        <v>11.79663</v>
      </c>
      <c r="D117">
        <v>11.463749999999999</v>
      </c>
      <c r="E117">
        <v>4.9167180000000004</v>
      </c>
      <c r="F117">
        <v>4.3781429999999997</v>
      </c>
      <c r="G117">
        <v>1.593353</v>
      </c>
      <c r="H117">
        <v>0.45733639999999998</v>
      </c>
      <c r="I117">
        <v>1.553925</v>
      </c>
      <c r="J117">
        <v>2.8006289999999998</v>
      </c>
      <c r="K117">
        <v>5.4629820000000002</v>
      </c>
      <c r="L117">
        <v>9.1852110000000007</v>
      </c>
      <c r="M117">
        <v>10.43277</v>
      </c>
      <c r="N117" s="11">
        <f t="shared" si="8"/>
        <v>6.9195370000000009</v>
      </c>
      <c r="O117" s="11">
        <f t="shared" si="9"/>
        <v>1.2015381333333333</v>
      </c>
      <c r="P117" s="11">
        <f t="shared" si="10"/>
        <v>5.8162739999999999</v>
      </c>
      <c r="Q117" s="11">
        <f t="shared" si="11"/>
        <v>11.671823333333334</v>
      </c>
    </row>
    <row r="118" spans="1:17" x14ac:dyDescent="0.25">
      <c r="A118">
        <v>2017</v>
      </c>
      <c r="B118">
        <v>11.300079999999999</v>
      </c>
      <c r="C118">
        <v>13.28262</v>
      </c>
      <c r="D118">
        <v>9.7038879999999992</v>
      </c>
      <c r="E118">
        <v>7.3793949999999997</v>
      </c>
      <c r="F118">
        <v>3.4147639999999999</v>
      </c>
      <c r="G118">
        <v>1.3763730000000001</v>
      </c>
      <c r="H118">
        <v>0.10189819999999999</v>
      </c>
      <c r="I118">
        <v>0.94842530000000003</v>
      </c>
      <c r="J118">
        <v>2.0295100000000001</v>
      </c>
      <c r="K118">
        <v>3.103119</v>
      </c>
      <c r="L118">
        <v>5.3746340000000004</v>
      </c>
      <c r="M118">
        <v>10.372529999999999</v>
      </c>
      <c r="N118" s="11">
        <f t="shared" si="8"/>
        <v>6.8326823333333335</v>
      </c>
      <c r="O118" s="11">
        <f t="shared" si="9"/>
        <v>0.80889883333333346</v>
      </c>
      <c r="P118" s="11">
        <f t="shared" si="10"/>
        <v>3.502421</v>
      </c>
      <c r="Q118" s="11">
        <f t="shared" si="11"/>
        <v>11.833313333333335</v>
      </c>
    </row>
    <row r="119" spans="1:17" x14ac:dyDescent="0.25">
      <c r="A119">
        <v>2018</v>
      </c>
      <c r="B119">
        <v>12.149900000000001</v>
      </c>
      <c r="C119">
        <v>12.977510000000001</v>
      </c>
      <c r="D119">
        <v>8.6496279999999999</v>
      </c>
      <c r="E119">
        <v>5.6288150000000003</v>
      </c>
      <c r="F119">
        <v>4.0315859999999999</v>
      </c>
      <c r="G119">
        <v>1.5594480000000001E-2</v>
      </c>
      <c r="H119">
        <v>-0.30050660000000001</v>
      </c>
      <c r="I119">
        <v>1.0581670000000001</v>
      </c>
      <c r="J119">
        <v>1.9733579999999999</v>
      </c>
      <c r="K119">
        <v>3.0793149999999998</v>
      </c>
      <c r="L119">
        <v>5.9340210000000004</v>
      </c>
      <c r="M119">
        <v>10.498570000000001</v>
      </c>
      <c r="N119" s="11">
        <f t="shared" si="8"/>
        <v>6.1033429999999997</v>
      </c>
      <c r="O119" s="11">
        <f t="shared" si="9"/>
        <v>0.25775162666666668</v>
      </c>
      <c r="P119" s="11">
        <f t="shared" si="10"/>
        <v>3.6622313333333332</v>
      </c>
      <c r="Q119" s="11">
        <f t="shared" si="11"/>
        <v>11.094790000000001</v>
      </c>
    </row>
    <row r="120" spans="1:17" x14ac:dyDescent="0.25">
      <c r="A120">
        <v>2019</v>
      </c>
      <c r="B120">
        <v>10.16788</v>
      </c>
      <c r="C120">
        <v>12.61792</v>
      </c>
      <c r="D120">
        <v>9.53186</v>
      </c>
      <c r="E120">
        <v>7.7167969999999997</v>
      </c>
      <c r="F120">
        <v>4.5086360000000001</v>
      </c>
      <c r="G120">
        <v>1.1860660000000001</v>
      </c>
      <c r="H120">
        <v>0.67837519999999996</v>
      </c>
      <c r="I120">
        <v>0.88406370000000001</v>
      </c>
      <c r="J120">
        <v>1.510529</v>
      </c>
      <c r="K120">
        <v>3.033417</v>
      </c>
      <c r="L120">
        <v>6.2295230000000004</v>
      </c>
      <c r="M120">
        <v>9.863251</v>
      </c>
      <c r="N120">
        <f t="shared" si="8"/>
        <v>7.2524310000000005</v>
      </c>
      <c r="O120">
        <f t="shared" si="9"/>
        <v>0.91616829999999994</v>
      </c>
      <c r="P120">
        <f t="shared" si="10"/>
        <v>3.5911563333333336</v>
      </c>
      <c r="Q120">
        <f t="shared" si="11"/>
        <v>11.013927000000001</v>
      </c>
    </row>
    <row r="121" spans="1:17" x14ac:dyDescent="0.25">
      <c r="A121">
        <v>2020</v>
      </c>
      <c r="B121">
        <v>12.13504</v>
      </c>
      <c r="C121">
        <v>11.04349</v>
      </c>
      <c r="D121">
        <v>11.32898</v>
      </c>
      <c r="E121">
        <v>7.0873720000000002</v>
      </c>
      <c r="F121">
        <v>4.0453489999999999</v>
      </c>
      <c r="G121">
        <v>0.83142090000000002</v>
      </c>
      <c r="H121">
        <v>-0.35189819999999999</v>
      </c>
      <c r="I121">
        <v>0.71047970000000005</v>
      </c>
      <c r="J121">
        <v>1.9638059999999999</v>
      </c>
      <c r="K121">
        <v>3.3510439999999999</v>
      </c>
      <c r="L121">
        <v>7.9519349999999998</v>
      </c>
      <c r="M121">
        <v>9.4654849999999993</v>
      </c>
      <c r="N121">
        <f t="shared" si="8"/>
        <v>7.4872336666666657</v>
      </c>
      <c r="O121">
        <f t="shared" si="9"/>
        <v>0.39666746666666669</v>
      </c>
      <c r="P121">
        <f t="shared" si="10"/>
        <v>4.4222616666666665</v>
      </c>
      <c r="Q121">
        <f t="shared" si="11"/>
        <v>11.483368333333333</v>
      </c>
    </row>
    <row r="122" spans="1:17" x14ac:dyDescent="0.25">
      <c r="A122">
        <v>2021</v>
      </c>
      <c r="B122">
        <v>11.243869999999999</v>
      </c>
      <c r="C122">
        <v>13.74075</v>
      </c>
      <c r="D122">
        <v>11.80972</v>
      </c>
      <c r="E122">
        <v>8.783417</v>
      </c>
      <c r="F122">
        <v>4.1628109999999996</v>
      </c>
      <c r="G122">
        <v>0.25442500000000001</v>
      </c>
      <c r="H122">
        <v>0.97155760000000002</v>
      </c>
      <c r="I122">
        <v>1.0151669999999999</v>
      </c>
      <c r="J122">
        <v>2.7355040000000002</v>
      </c>
      <c r="K122">
        <v>4.5282289999999996</v>
      </c>
      <c r="L122">
        <v>8.4502869999999994</v>
      </c>
      <c r="M122">
        <v>12.411160000000001</v>
      </c>
      <c r="N122">
        <f t="shared" si="8"/>
        <v>8.2519826666666649</v>
      </c>
      <c r="O122">
        <f t="shared" si="9"/>
        <v>0.74704986666666662</v>
      </c>
      <c r="P122">
        <f t="shared" si="10"/>
        <v>5.2380066666666663</v>
      </c>
      <c r="Q122">
        <f t="shared" si="11"/>
        <v>12.096096666666668</v>
      </c>
    </row>
    <row r="123" spans="1:17" x14ac:dyDescent="0.25">
      <c r="A123">
        <v>2022</v>
      </c>
      <c r="B123">
        <v>11.866390000000001</v>
      </c>
      <c r="C123">
        <v>12.01074</v>
      </c>
      <c r="D123">
        <v>8.0985410000000009</v>
      </c>
      <c r="E123">
        <v>4.928833</v>
      </c>
      <c r="F123">
        <v>0.91690059999999995</v>
      </c>
      <c r="G123">
        <v>-0.33666990000000002</v>
      </c>
      <c r="H123">
        <v>-0.1611023</v>
      </c>
      <c r="I123">
        <v>0.66543580000000002</v>
      </c>
      <c r="J123">
        <v>2.473236</v>
      </c>
      <c r="K123">
        <v>3.6130070000000001</v>
      </c>
      <c r="L123">
        <v>10.156890000000001</v>
      </c>
      <c r="M123">
        <v>11.212400000000001</v>
      </c>
      <c r="N123">
        <f>IF(AND(ISNUMBER(D123),ISNUMBER(E123),ISNUMBER(F123)),AVERAGE(D123:F123),"")</f>
        <v>4.6480915333333339</v>
      </c>
      <c r="O123">
        <f>IF(AND(ISNUMBER(G123),ISNUMBER(H123),ISNUMBER(I123)),AVERAGE(G123:I123),"")</f>
        <v>5.5887866666666675E-2</v>
      </c>
      <c r="P123">
        <f>IF(AND(ISNUMBER(J123),ISNUMBER(K123),ISNUMBER(L123)),AVERAGE(J123:L123),"")</f>
        <v>5.4143776666666668</v>
      </c>
      <c r="Q123">
        <f>IF(AND(ISNUMBER(M123),ISNUMBER(B124),ISNUMBER(C124)),AVERAGE(M123,B124:C124),"")</f>
        <v>12.235139999999999</v>
      </c>
    </row>
    <row r="124" spans="1:17" x14ac:dyDescent="0.25">
      <c r="B124">
        <v>12.85294</v>
      </c>
      <c r="C124">
        <v>12.640079999999999</v>
      </c>
      <c r="D124">
        <v>10.10629</v>
      </c>
      <c r="E124">
        <v>7.7164919999999997</v>
      </c>
      <c r="F124">
        <v>4.1593020000000003</v>
      </c>
      <c r="G124">
        <v>1.0383</v>
      </c>
      <c r="H124">
        <v>0.78012079999999995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09011-2570-4DB0-8B4C-46EA4E05BE6D}">
  <dimension ref="A1:Q123"/>
  <sheetViews>
    <sheetView zoomScale="70" zoomScaleNormal="70" workbookViewId="0"/>
  </sheetViews>
  <sheetFormatPr defaultColWidth="11" defaultRowHeight="15" x14ac:dyDescent="0.25"/>
  <cols>
    <col min="2" max="4" width="5" bestFit="1" customWidth="1"/>
    <col min="5" max="5" width="4" bestFit="1" customWidth="1"/>
    <col min="6" max="6" width="4.5703125" bestFit="1" customWidth="1"/>
    <col min="7" max="7" width="4" bestFit="1" customWidth="1"/>
    <col min="8" max="8" width="5" bestFit="1" customWidth="1"/>
    <col min="9" max="10" width="4" bestFit="1" customWidth="1"/>
    <col min="11" max="13" width="5" bestFit="1" customWidth="1"/>
    <col min="14" max="17" width="12" bestFit="1" customWidth="1"/>
  </cols>
  <sheetData>
    <row r="1" spans="1:17" x14ac:dyDescent="0.25">
      <c r="A1" s="1" t="s">
        <v>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</row>
    <row r="3" spans="1:17" x14ac:dyDescent="0.25">
      <c r="A3">
        <v>1902</v>
      </c>
      <c r="B3">
        <v>19</v>
      </c>
      <c r="C3">
        <v>18.600000000000001</v>
      </c>
      <c r="D3">
        <v>15.5</v>
      </c>
      <c r="E3">
        <v>13.4</v>
      </c>
      <c r="F3">
        <v>8.8000000000000007</v>
      </c>
      <c r="G3">
        <v>4.9000000000000004</v>
      </c>
      <c r="H3">
        <v>3.2</v>
      </c>
      <c r="I3">
        <v>5</v>
      </c>
      <c r="J3">
        <v>8.3000000000000007</v>
      </c>
      <c r="K3">
        <v>11.8</v>
      </c>
      <c r="L3">
        <v>14.1</v>
      </c>
      <c r="M3">
        <v>17</v>
      </c>
      <c r="N3" s="11">
        <f t="shared" ref="N3:N31" si="0">IF(AND(ISNUMBER(D3),ISNUMBER(E3),ISNUMBER(F3)),AVERAGE(D3:F3),"")</f>
        <v>12.566666666666668</v>
      </c>
      <c r="O3" s="11">
        <f t="shared" ref="O3:O31" si="1">IF(AND(ISNUMBER(G3),ISNUMBER(H3),ISNUMBER(I3)),AVERAGE(G3:I3),"")</f>
        <v>4.3666666666666671</v>
      </c>
      <c r="P3" s="11">
        <f t="shared" ref="P3:P31" si="2">IF(AND(ISNUMBER(J3),ISNUMBER(K3),ISNUMBER(L3)),AVERAGE(J3:L3),"")</f>
        <v>11.4</v>
      </c>
      <c r="Q3" s="11">
        <f t="shared" ref="Q3:Q31" si="3">IF(AND(ISNUMBER(M3),ISNUMBER(B4),ISNUMBER(C4)),AVERAGE(M3,B4:C4),"")</f>
        <v>17.2</v>
      </c>
    </row>
    <row r="4" spans="1:17" x14ac:dyDescent="0.25">
      <c r="A4">
        <v>1903</v>
      </c>
      <c r="B4">
        <v>17.600000000000001</v>
      </c>
      <c r="C4">
        <v>17</v>
      </c>
      <c r="D4">
        <v>15.3</v>
      </c>
      <c r="E4">
        <v>12.1</v>
      </c>
      <c r="F4">
        <v>8.9000009999999996</v>
      </c>
      <c r="G4">
        <v>6.3</v>
      </c>
      <c r="H4">
        <v>5</v>
      </c>
      <c r="I4">
        <v>6.3</v>
      </c>
      <c r="J4">
        <v>9.4999990000000007</v>
      </c>
      <c r="K4">
        <v>11.5</v>
      </c>
      <c r="L4">
        <v>14.5</v>
      </c>
      <c r="M4">
        <v>16.600000000000001</v>
      </c>
      <c r="N4" s="11">
        <f t="shared" si="0"/>
        <v>12.100000333333332</v>
      </c>
      <c r="O4" s="11">
        <f t="shared" si="1"/>
        <v>5.8666666666666671</v>
      </c>
      <c r="P4" s="11">
        <f t="shared" si="2"/>
        <v>11.833333000000001</v>
      </c>
      <c r="Q4" s="11">
        <f t="shared" si="3"/>
        <v>18.266666666666669</v>
      </c>
    </row>
    <row r="5" spans="1:17" x14ac:dyDescent="0.25">
      <c r="A5">
        <v>1904</v>
      </c>
      <c r="B5">
        <v>20.100000000000001</v>
      </c>
      <c r="C5">
        <v>18.100000000000001</v>
      </c>
      <c r="D5">
        <v>16.2</v>
      </c>
      <c r="E5">
        <v>13.3</v>
      </c>
      <c r="F5">
        <v>9.1</v>
      </c>
      <c r="G5">
        <v>6.5</v>
      </c>
      <c r="H5">
        <v>5.9</v>
      </c>
      <c r="I5">
        <v>6.5</v>
      </c>
      <c r="J5">
        <v>8.9000009999999996</v>
      </c>
      <c r="K5">
        <v>11.1</v>
      </c>
      <c r="L5">
        <v>14.1</v>
      </c>
      <c r="M5">
        <v>17</v>
      </c>
      <c r="N5" s="11">
        <f t="shared" si="0"/>
        <v>12.866666666666667</v>
      </c>
      <c r="O5" s="11">
        <f t="shared" si="1"/>
        <v>6.3</v>
      </c>
      <c r="P5" s="11">
        <f t="shared" si="2"/>
        <v>11.366667</v>
      </c>
      <c r="Q5" s="11">
        <f t="shared" si="3"/>
        <v>18.099999999999998</v>
      </c>
    </row>
    <row r="6" spans="1:17" x14ac:dyDescent="0.25">
      <c r="A6">
        <v>1905</v>
      </c>
      <c r="B6">
        <v>19.100000000000001</v>
      </c>
      <c r="C6">
        <v>18.2</v>
      </c>
      <c r="D6">
        <v>17.600000000000001</v>
      </c>
      <c r="E6">
        <v>12.8</v>
      </c>
      <c r="F6">
        <v>6.9</v>
      </c>
      <c r="G6">
        <v>6.5</v>
      </c>
      <c r="H6">
        <v>3.8</v>
      </c>
      <c r="I6">
        <v>5.9</v>
      </c>
      <c r="J6">
        <v>9.1</v>
      </c>
      <c r="K6">
        <v>10.7</v>
      </c>
      <c r="L6">
        <v>14.9</v>
      </c>
      <c r="M6">
        <v>16.399999999999999</v>
      </c>
      <c r="N6" s="11">
        <f t="shared" si="0"/>
        <v>12.433333333333335</v>
      </c>
      <c r="O6" s="11">
        <f t="shared" si="1"/>
        <v>5.4000000000000012</v>
      </c>
      <c r="P6" s="11">
        <f t="shared" si="2"/>
        <v>11.566666666666665</v>
      </c>
      <c r="Q6" s="11">
        <f t="shared" si="3"/>
        <v>18.233333333333334</v>
      </c>
    </row>
    <row r="7" spans="1:17" x14ac:dyDescent="0.25">
      <c r="A7">
        <v>1906</v>
      </c>
      <c r="B7">
        <v>19.3</v>
      </c>
      <c r="C7">
        <v>19</v>
      </c>
      <c r="D7">
        <v>17.399999999999999</v>
      </c>
      <c r="E7">
        <v>12.5</v>
      </c>
      <c r="F7">
        <v>9</v>
      </c>
      <c r="G7">
        <v>3.6</v>
      </c>
      <c r="H7">
        <v>4.0999999999999996</v>
      </c>
      <c r="I7">
        <v>6.7000010000000003</v>
      </c>
      <c r="J7">
        <v>8.6</v>
      </c>
      <c r="K7">
        <v>13</v>
      </c>
      <c r="L7">
        <v>15.4</v>
      </c>
      <c r="M7">
        <v>16.100000000000001</v>
      </c>
      <c r="N7" s="11">
        <f t="shared" si="0"/>
        <v>12.966666666666667</v>
      </c>
      <c r="O7" s="11">
        <f t="shared" si="1"/>
        <v>4.8000003333333332</v>
      </c>
      <c r="P7" s="11">
        <f t="shared" si="2"/>
        <v>12.333333333333334</v>
      </c>
      <c r="Q7" s="11">
        <f t="shared" si="3"/>
        <v>17.8</v>
      </c>
    </row>
    <row r="8" spans="1:17" x14ac:dyDescent="0.25">
      <c r="A8">
        <v>1907</v>
      </c>
      <c r="B8">
        <v>18.8</v>
      </c>
      <c r="C8">
        <v>18.5</v>
      </c>
      <c r="D8">
        <v>15.9</v>
      </c>
      <c r="E8">
        <v>11.7</v>
      </c>
      <c r="F8">
        <v>8.1</v>
      </c>
      <c r="G8">
        <v>3.4</v>
      </c>
      <c r="H8">
        <v>5.2</v>
      </c>
      <c r="I8">
        <v>6</v>
      </c>
      <c r="J8">
        <v>7.5</v>
      </c>
      <c r="K8">
        <v>11.2</v>
      </c>
      <c r="L8">
        <v>14.6</v>
      </c>
      <c r="M8">
        <v>15</v>
      </c>
      <c r="N8" s="11">
        <f t="shared" si="0"/>
        <v>11.9</v>
      </c>
      <c r="O8" s="11">
        <f t="shared" si="1"/>
        <v>4.8666666666666663</v>
      </c>
      <c r="P8" s="11">
        <f t="shared" si="2"/>
        <v>11.1</v>
      </c>
      <c r="Q8" s="11">
        <f t="shared" si="3"/>
        <v>17.400000000000002</v>
      </c>
    </row>
    <row r="9" spans="1:17" x14ac:dyDescent="0.25">
      <c r="A9">
        <v>1908</v>
      </c>
      <c r="B9">
        <v>18.5</v>
      </c>
      <c r="C9">
        <v>18.7</v>
      </c>
      <c r="D9">
        <v>17.2</v>
      </c>
      <c r="E9">
        <v>11.1</v>
      </c>
      <c r="F9">
        <v>8.1</v>
      </c>
      <c r="G9">
        <v>6.3</v>
      </c>
      <c r="H9">
        <v>5.3</v>
      </c>
      <c r="I9">
        <v>5.6</v>
      </c>
      <c r="J9">
        <v>8.5</v>
      </c>
      <c r="K9">
        <v>11.8</v>
      </c>
      <c r="L9">
        <v>13.8</v>
      </c>
      <c r="M9">
        <v>16.7</v>
      </c>
      <c r="N9" s="11">
        <f t="shared" si="0"/>
        <v>12.133333333333333</v>
      </c>
      <c r="O9" s="11">
        <f t="shared" si="1"/>
        <v>5.7333333333333334</v>
      </c>
      <c r="P9" s="11">
        <f t="shared" si="2"/>
        <v>11.366666666666667</v>
      </c>
      <c r="Q9" s="11">
        <f t="shared" si="3"/>
        <v>17.966666666666665</v>
      </c>
    </row>
    <row r="10" spans="1:17" x14ac:dyDescent="0.25">
      <c r="A10">
        <v>1909</v>
      </c>
      <c r="B10">
        <v>18.8</v>
      </c>
      <c r="C10">
        <v>18.399999999999999</v>
      </c>
      <c r="D10">
        <v>16.899999999999999</v>
      </c>
      <c r="E10">
        <v>12.2</v>
      </c>
      <c r="F10">
        <v>8.1999999999999993</v>
      </c>
      <c r="G10">
        <v>4.7</v>
      </c>
      <c r="H10">
        <v>4.3</v>
      </c>
      <c r="I10">
        <v>6.6</v>
      </c>
      <c r="J10">
        <v>8.9000009999999996</v>
      </c>
      <c r="K10">
        <v>11.5</v>
      </c>
      <c r="L10">
        <v>13.7</v>
      </c>
      <c r="M10">
        <v>16.100000000000001</v>
      </c>
      <c r="N10" s="11">
        <f t="shared" si="0"/>
        <v>12.433333333333332</v>
      </c>
      <c r="O10" s="11">
        <f t="shared" si="1"/>
        <v>5.2</v>
      </c>
      <c r="P10" s="11">
        <f t="shared" si="2"/>
        <v>11.366667</v>
      </c>
      <c r="Q10" s="11">
        <f t="shared" si="3"/>
        <v>17</v>
      </c>
    </row>
    <row r="11" spans="1:17" x14ac:dyDescent="0.25">
      <c r="A11">
        <v>1910</v>
      </c>
      <c r="B11">
        <v>17.2</v>
      </c>
      <c r="C11">
        <v>17.7</v>
      </c>
      <c r="D11">
        <v>15.6</v>
      </c>
      <c r="E11">
        <v>11.1</v>
      </c>
      <c r="F11">
        <v>8.5</v>
      </c>
      <c r="G11">
        <v>4.7</v>
      </c>
      <c r="H11">
        <v>4.2</v>
      </c>
      <c r="I11">
        <v>6.5</v>
      </c>
      <c r="J11">
        <v>9.4000009999999996</v>
      </c>
      <c r="K11">
        <v>13</v>
      </c>
      <c r="L11">
        <v>15.4</v>
      </c>
      <c r="M11">
        <v>17.899999999999999</v>
      </c>
      <c r="N11" s="11">
        <f t="shared" si="0"/>
        <v>11.733333333333334</v>
      </c>
      <c r="O11" s="11">
        <f t="shared" si="1"/>
        <v>5.1333333333333337</v>
      </c>
      <c r="P11" s="11">
        <f t="shared" si="2"/>
        <v>12.600000333333334</v>
      </c>
      <c r="Q11" s="11">
        <f t="shared" si="3"/>
        <v>17.899999999999999</v>
      </c>
    </row>
    <row r="12" spans="1:17" x14ac:dyDescent="0.25">
      <c r="A12">
        <v>1911</v>
      </c>
      <c r="B12">
        <v>18.2</v>
      </c>
      <c r="C12">
        <v>17.600000000000001</v>
      </c>
      <c r="D12">
        <v>15.4</v>
      </c>
      <c r="E12">
        <v>11.1</v>
      </c>
      <c r="F12">
        <v>8.1999999999999993</v>
      </c>
      <c r="G12">
        <v>5.8</v>
      </c>
      <c r="H12">
        <v>5.7</v>
      </c>
      <c r="I12">
        <v>5.7</v>
      </c>
      <c r="J12">
        <v>7.9</v>
      </c>
      <c r="K12">
        <v>11.6</v>
      </c>
      <c r="L12">
        <v>14.5</v>
      </c>
      <c r="M12">
        <v>17.100000000000001</v>
      </c>
      <c r="N12" s="11">
        <f t="shared" si="0"/>
        <v>11.566666666666668</v>
      </c>
      <c r="O12" s="11">
        <f t="shared" si="1"/>
        <v>5.7333333333333334</v>
      </c>
      <c r="P12" s="11">
        <f t="shared" si="2"/>
        <v>11.333333333333334</v>
      </c>
      <c r="Q12" s="11">
        <f t="shared" si="3"/>
        <v>18.133333333333333</v>
      </c>
    </row>
    <row r="13" spans="1:17" x14ac:dyDescent="0.25">
      <c r="A13">
        <v>1912</v>
      </c>
      <c r="B13">
        <v>19.2</v>
      </c>
      <c r="C13">
        <v>18.100000000000001</v>
      </c>
      <c r="D13">
        <v>17</v>
      </c>
      <c r="E13">
        <v>12.8</v>
      </c>
      <c r="F13">
        <v>7.4</v>
      </c>
      <c r="G13">
        <v>5.7</v>
      </c>
      <c r="H13">
        <v>5.9</v>
      </c>
      <c r="I13">
        <v>6.2</v>
      </c>
      <c r="J13">
        <v>9.4999990000000007</v>
      </c>
      <c r="K13">
        <v>13.1</v>
      </c>
      <c r="L13">
        <v>14.1</v>
      </c>
      <c r="M13">
        <v>17.899999999999999</v>
      </c>
      <c r="N13" s="11">
        <f t="shared" si="0"/>
        <v>12.4</v>
      </c>
      <c r="O13" s="11">
        <f t="shared" si="1"/>
        <v>5.9333333333333336</v>
      </c>
      <c r="P13" s="11">
        <f t="shared" si="2"/>
        <v>12.233333</v>
      </c>
      <c r="Q13" s="11">
        <f t="shared" si="3"/>
        <v>18.966666666666665</v>
      </c>
    </row>
    <row r="14" spans="1:17" x14ac:dyDescent="0.25">
      <c r="A14">
        <v>1913</v>
      </c>
      <c r="B14">
        <v>19.2</v>
      </c>
      <c r="C14">
        <v>19.8</v>
      </c>
      <c r="D14">
        <v>16.7</v>
      </c>
      <c r="E14">
        <v>13</v>
      </c>
      <c r="F14">
        <v>8.1999999999999993</v>
      </c>
      <c r="G14">
        <v>6.4000009999999996</v>
      </c>
      <c r="H14">
        <v>6.2</v>
      </c>
      <c r="I14">
        <v>6.3</v>
      </c>
      <c r="J14">
        <v>9.9999990000000007</v>
      </c>
      <c r="K14">
        <v>11.9</v>
      </c>
      <c r="L14">
        <v>15.7</v>
      </c>
      <c r="M14">
        <v>17.399999999999999</v>
      </c>
      <c r="N14" s="11">
        <f t="shared" si="0"/>
        <v>12.633333333333333</v>
      </c>
      <c r="O14" s="11">
        <f t="shared" si="1"/>
        <v>6.3000003333333332</v>
      </c>
      <c r="P14" s="11">
        <f t="shared" si="2"/>
        <v>12.533332999999999</v>
      </c>
      <c r="Q14" s="11">
        <f t="shared" si="3"/>
        <v>18.433333333333334</v>
      </c>
    </row>
    <row r="15" spans="1:17" x14ac:dyDescent="0.25">
      <c r="A15">
        <v>1914</v>
      </c>
      <c r="B15">
        <v>18.399999999999999</v>
      </c>
      <c r="C15">
        <v>19.5</v>
      </c>
      <c r="D15">
        <v>17.2</v>
      </c>
      <c r="E15">
        <v>12.1</v>
      </c>
      <c r="F15">
        <v>8.5</v>
      </c>
      <c r="G15">
        <v>5.0999999999999996</v>
      </c>
      <c r="H15">
        <v>5.4</v>
      </c>
      <c r="I15">
        <v>5.7</v>
      </c>
      <c r="J15">
        <v>8</v>
      </c>
      <c r="K15">
        <v>11.7</v>
      </c>
      <c r="L15">
        <v>12</v>
      </c>
      <c r="M15">
        <v>16.5</v>
      </c>
      <c r="N15" s="11">
        <f t="shared" si="0"/>
        <v>12.6</v>
      </c>
      <c r="O15" s="11">
        <f t="shared" si="1"/>
        <v>5.3999999999999995</v>
      </c>
      <c r="P15" s="11">
        <f t="shared" si="2"/>
        <v>10.566666666666666</v>
      </c>
      <c r="Q15" s="11">
        <f t="shared" si="3"/>
        <v>17.533333333333331</v>
      </c>
    </row>
    <row r="16" spans="1:17" x14ac:dyDescent="0.25">
      <c r="A16">
        <v>1915</v>
      </c>
      <c r="B16">
        <v>17.899999999999999</v>
      </c>
      <c r="C16">
        <v>18.2</v>
      </c>
      <c r="D16">
        <v>16.5</v>
      </c>
      <c r="E16">
        <v>10.7</v>
      </c>
      <c r="F16">
        <v>6.9</v>
      </c>
      <c r="G16">
        <v>4.2000010000000003</v>
      </c>
      <c r="H16">
        <v>5.7</v>
      </c>
      <c r="I16">
        <v>6.800001</v>
      </c>
      <c r="J16">
        <v>9.4999990000000007</v>
      </c>
      <c r="K16">
        <v>12.8</v>
      </c>
      <c r="L16">
        <v>15</v>
      </c>
      <c r="M16">
        <v>16.8</v>
      </c>
      <c r="N16" s="11">
        <f t="shared" si="0"/>
        <v>11.366666666666667</v>
      </c>
      <c r="O16" s="11">
        <f t="shared" si="1"/>
        <v>5.5666673333333323</v>
      </c>
      <c r="P16" s="11">
        <f t="shared" si="2"/>
        <v>12.433332999999999</v>
      </c>
      <c r="Q16" s="11">
        <f t="shared" si="3"/>
        <v>17.966666666666665</v>
      </c>
    </row>
    <row r="17" spans="1:17" x14ac:dyDescent="0.25">
      <c r="A17">
        <v>1916</v>
      </c>
      <c r="B17">
        <v>17.7</v>
      </c>
      <c r="C17">
        <v>19.399999999999999</v>
      </c>
      <c r="D17">
        <v>15.9</v>
      </c>
      <c r="E17">
        <v>12.9</v>
      </c>
      <c r="F17">
        <v>9.5</v>
      </c>
      <c r="G17">
        <v>4.3</v>
      </c>
      <c r="H17">
        <v>4.7</v>
      </c>
      <c r="I17">
        <v>6.6</v>
      </c>
      <c r="J17">
        <v>8.6</v>
      </c>
      <c r="K17">
        <v>13.4</v>
      </c>
      <c r="L17">
        <v>14.7</v>
      </c>
      <c r="M17">
        <v>16.899999999999999</v>
      </c>
      <c r="N17" s="11">
        <f t="shared" si="0"/>
        <v>12.766666666666666</v>
      </c>
      <c r="O17" s="11">
        <f t="shared" si="1"/>
        <v>5.2</v>
      </c>
      <c r="P17" s="11">
        <f t="shared" si="2"/>
        <v>12.233333333333334</v>
      </c>
      <c r="Q17" s="11">
        <f t="shared" si="3"/>
        <v>18.633333333333333</v>
      </c>
    </row>
    <row r="18" spans="1:17" x14ac:dyDescent="0.25">
      <c r="A18">
        <v>1917</v>
      </c>
      <c r="B18">
        <v>19.399999999999999</v>
      </c>
      <c r="C18">
        <v>19.600000000000001</v>
      </c>
      <c r="D18">
        <v>16.600000000000001</v>
      </c>
      <c r="E18">
        <v>13</v>
      </c>
      <c r="F18">
        <v>8.1</v>
      </c>
      <c r="G18">
        <v>7.1</v>
      </c>
      <c r="H18">
        <v>5.7</v>
      </c>
      <c r="I18">
        <v>6.6</v>
      </c>
      <c r="J18">
        <v>9.4000009999999996</v>
      </c>
      <c r="K18">
        <v>13.3</v>
      </c>
      <c r="L18">
        <v>16.2</v>
      </c>
      <c r="M18">
        <v>17.3</v>
      </c>
      <c r="N18" s="11">
        <f t="shared" si="0"/>
        <v>12.566666666666668</v>
      </c>
      <c r="O18" s="11">
        <f t="shared" si="1"/>
        <v>6.4666666666666659</v>
      </c>
      <c r="P18" s="11">
        <f t="shared" si="2"/>
        <v>12.966667000000001</v>
      </c>
      <c r="Q18" s="11">
        <f t="shared" si="3"/>
        <v>18.666666666666668</v>
      </c>
    </row>
    <row r="19" spans="1:17" x14ac:dyDescent="0.25">
      <c r="A19">
        <v>1918</v>
      </c>
      <c r="B19">
        <v>18.3</v>
      </c>
      <c r="C19">
        <v>20.399999999999999</v>
      </c>
      <c r="D19">
        <v>16.7</v>
      </c>
      <c r="E19">
        <v>12.7</v>
      </c>
      <c r="F19">
        <v>6.8</v>
      </c>
      <c r="G19">
        <v>5.0999999999999996</v>
      </c>
      <c r="H19">
        <v>4.9000000000000004</v>
      </c>
      <c r="I19">
        <v>6.3</v>
      </c>
      <c r="J19">
        <v>8</v>
      </c>
      <c r="K19">
        <v>12.3</v>
      </c>
      <c r="L19">
        <v>13.8</v>
      </c>
      <c r="M19">
        <v>18</v>
      </c>
      <c r="N19" s="11">
        <f t="shared" si="0"/>
        <v>12.066666666666665</v>
      </c>
      <c r="O19" s="11">
        <f t="shared" si="1"/>
        <v>5.4333333333333336</v>
      </c>
      <c r="P19" s="11">
        <f t="shared" si="2"/>
        <v>11.366666666666667</v>
      </c>
      <c r="Q19" s="11">
        <f t="shared" si="3"/>
        <v>19.066666666666666</v>
      </c>
    </row>
    <row r="20" spans="1:17" x14ac:dyDescent="0.25">
      <c r="A20">
        <v>1919</v>
      </c>
      <c r="B20">
        <v>20</v>
      </c>
      <c r="C20">
        <v>19.2</v>
      </c>
      <c r="D20">
        <v>18</v>
      </c>
      <c r="E20">
        <v>11.9</v>
      </c>
      <c r="F20">
        <v>9.9000009999999996</v>
      </c>
      <c r="G20">
        <v>5.5</v>
      </c>
      <c r="H20">
        <v>5</v>
      </c>
      <c r="I20">
        <v>6.7000010000000003</v>
      </c>
      <c r="J20">
        <v>7.9</v>
      </c>
      <c r="K20">
        <v>12.4</v>
      </c>
      <c r="L20">
        <v>13.2</v>
      </c>
      <c r="M20">
        <v>17</v>
      </c>
      <c r="N20" s="11">
        <f t="shared" si="0"/>
        <v>13.266666999999998</v>
      </c>
      <c r="O20" s="11">
        <f t="shared" si="1"/>
        <v>5.7333336666666668</v>
      </c>
      <c r="P20" s="11">
        <f t="shared" si="2"/>
        <v>11.166666666666666</v>
      </c>
      <c r="Q20" s="11">
        <f t="shared" si="3"/>
        <v>18.566666666666666</v>
      </c>
    </row>
    <row r="21" spans="1:17" x14ac:dyDescent="0.25">
      <c r="A21">
        <v>1920</v>
      </c>
      <c r="B21">
        <v>19.399999999999999</v>
      </c>
      <c r="C21">
        <v>19.3</v>
      </c>
      <c r="D21">
        <v>15.9</v>
      </c>
      <c r="E21">
        <v>13</v>
      </c>
      <c r="F21">
        <v>8.4000009999999996</v>
      </c>
      <c r="G21">
        <v>5.6</v>
      </c>
      <c r="H21">
        <v>4.9000000000000004</v>
      </c>
      <c r="I21">
        <v>7.7000010000000003</v>
      </c>
      <c r="J21">
        <v>9.3000000000000007</v>
      </c>
      <c r="K21">
        <v>11.1</v>
      </c>
      <c r="L21">
        <v>14.3</v>
      </c>
      <c r="M21">
        <v>16.2</v>
      </c>
      <c r="N21" s="11">
        <f t="shared" si="0"/>
        <v>12.433333666666664</v>
      </c>
      <c r="O21" s="11">
        <f t="shared" si="1"/>
        <v>6.0666669999999998</v>
      </c>
      <c r="P21" s="11">
        <f t="shared" si="2"/>
        <v>11.566666666666668</v>
      </c>
      <c r="Q21" s="11">
        <f t="shared" si="3"/>
        <v>16.966666666666665</v>
      </c>
    </row>
    <row r="22" spans="1:17" x14ac:dyDescent="0.25">
      <c r="A22">
        <v>1921</v>
      </c>
      <c r="B22">
        <v>17.399999999999999</v>
      </c>
      <c r="C22">
        <v>17.3</v>
      </c>
      <c r="D22">
        <v>16.2</v>
      </c>
      <c r="E22">
        <v>13.1</v>
      </c>
      <c r="F22">
        <v>8.6999999999999993</v>
      </c>
      <c r="G22">
        <v>4.5</v>
      </c>
      <c r="H22">
        <v>4.5</v>
      </c>
      <c r="I22">
        <v>5.7</v>
      </c>
      <c r="J22">
        <v>9</v>
      </c>
      <c r="K22">
        <v>12</v>
      </c>
      <c r="L22">
        <v>15.9</v>
      </c>
      <c r="M22">
        <v>15.8</v>
      </c>
      <c r="N22" s="11">
        <f t="shared" si="0"/>
        <v>12.666666666666666</v>
      </c>
      <c r="O22" s="11">
        <f t="shared" si="1"/>
        <v>4.8999999999999995</v>
      </c>
      <c r="P22" s="11">
        <f t="shared" si="2"/>
        <v>12.299999999999999</v>
      </c>
      <c r="Q22" s="11">
        <f t="shared" si="3"/>
        <v>17.400000000000002</v>
      </c>
    </row>
    <row r="23" spans="1:17" x14ac:dyDescent="0.25">
      <c r="A23">
        <v>1922</v>
      </c>
      <c r="B23">
        <v>18.399999999999999</v>
      </c>
      <c r="C23">
        <v>18</v>
      </c>
      <c r="D23">
        <v>16.3</v>
      </c>
      <c r="E23">
        <v>12.2</v>
      </c>
      <c r="F23">
        <v>9.9000009999999996</v>
      </c>
      <c r="G23">
        <v>4.2000010000000003</v>
      </c>
      <c r="H23">
        <v>5.7</v>
      </c>
      <c r="I23">
        <v>5.7</v>
      </c>
      <c r="J23">
        <v>9.9999990000000007</v>
      </c>
      <c r="K23">
        <v>11.3</v>
      </c>
      <c r="L23">
        <v>15</v>
      </c>
      <c r="M23">
        <v>17.7</v>
      </c>
      <c r="N23" s="11">
        <f t="shared" si="0"/>
        <v>12.800000333333335</v>
      </c>
      <c r="O23" s="11">
        <f t="shared" si="1"/>
        <v>5.2000003333333327</v>
      </c>
      <c r="P23" s="11">
        <f t="shared" si="2"/>
        <v>12.099999666666667</v>
      </c>
      <c r="Q23" s="11">
        <f t="shared" si="3"/>
        <v>18.466666666666665</v>
      </c>
    </row>
    <row r="24" spans="1:17" x14ac:dyDescent="0.25">
      <c r="A24">
        <v>1923</v>
      </c>
      <c r="B24">
        <v>18.8</v>
      </c>
      <c r="C24">
        <v>18.899999999999999</v>
      </c>
      <c r="D24">
        <v>15.8</v>
      </c>
      <c r="E24">
        <v>12</v>
      </c>
      <c r="F24">
        <v>8.4000009999999996</v>
      </c>
      <c r="G24">
        <v>5.9</v>
      </c>
      <c r="H24">
        <v>3.4</v>
      </c>
      <c r="I24">
        <v>5</v>
      </c>
      <c r="J24">
        <v>8.6</v>
      </c>
      <c r="K24">
        <v>10.8</v>
      </c>
      <c r="L24">
        <v>14.7</v>
      </c>
      <c r="M24">
        <v>15.9</v>
      </c>
      <c r="N24" s="11">
        <f t="shared" si="0"/>
        <v>12.066667000000001</v>
      </c>
      <c r="O24" s="11">
        <f t="shared" si="1"/>
        <v>4.7666666666666666</v>
      </c>
      <c r="P24" s="11">
        <f t="shared" si="2"/>
        <v>11.366666666666665</v>
      </c>
      <c r="Q24" s="11">
        <f t="shared" si="3"/>
        <v>17.866666666666664</v>
      </c>
    </row>
    <row r="25" spans="1:17" x14ac:dyDescent="0.25">
      <c r="A25">
        <v>1924</v>
      </c>
      <c r="B25">
        <v>19.899999999999999</v>
      </c>
      <c r="C25">
        <v>17.8</v>
      </c>
      <c r="D25">
        <v>15.6</v>
      </c>
      <c r="E25">
        <v>12.7</v>
      </c>
      <c r="F25">
        <v>7.5</v>
      </c>
      <c r="G25">
        <v>5.9</v>
      </c>
      <c r="H25">
        <v>4.8</v>
      </c>
      <c r="I25">
        <v>5.9</v>
      </c>
      <c r="J25">
        <v>8.6999999999999993</v>
      </c>
      <c r="K25">
        <v>12.7</v>
      </c>
      <c r="L25">
        <v>14.7</v>
      </c>
      <c r="M25">
        <v>17.2</v>
      </c>
      <c r="N25" s="11">
        <f t="shared" si="0"/>
        <v>11.933333333333332</v>
      </c>
      <c r="O25" s="11">
        <f t="shared" si="1"/>
        <v>5.5333333333333341</v>
      </c>
      <c r="P25" s="11">
        <f t="shared" si="2"/>
        <v>12.033333333333331</v>
      </c>
      <c r="Q25" s="11">
        <f t="shared" si="3"/>
        <v>17.633333333333336</v>
      </c>
    </row>
    <row r="26" spans="1:17" x14ac:dyDescent="0.25">
      <c r="A26">
        <v>1925</v>
      </c>
      <c r="B26">
        <v>18</v>
      </c>
      <c r="C26">
        <v>17.7</v>
      </c>
      <c r="D26">
        <v>16.899999999999999</v>
      </c>
      <c r="E26">
        <v>11.4</v>
      </c>
      <c r="F26">
        <v>7.5</v>
      </c>
      <c r="G26">
        <v>4.2000010000000003</v>
      </c>
      <c r="H26">
        <v>4.4000000000000004</v>
      </c>
      <c r="I26">
        <v>6.2</v>
      </c>
      <c r="J26">
        <v>8.1999999999999993</v>
      </c>
      <c r="K26">
        <v>12</v>
      </c>
      <c r="L26">
        <v>14.8</v>
      </c>
      <c r="M26">
        <v>16.5</v>
      </c>
      <c r="N26" s="11">
        <f t="shared" si="0"/>
        <v>11.933333333333332</v>
      </c>
      <c r="O26" s="11">
        <f t="shared" si="1"/>
        <v>4.933333666666667</v>
      </c>
      <c r="P26" s="11">
        <f t="shared" si="2"/>
        <v>11.666666666666666</v>
      </c>
      <c r="Q26" s="11">
        <f t="shared" si="3"/>
        <v>17.766666666666669</v>
      </c>
    </row>
    <row r="27" spans="1:17" x14ac:dyDescent="0.25">
      <c r="A27">
        <v>1926</v>
      </c>
      <c r="B27">
        <v>18.2</v>
      </c>
      <c r="C27">
        <v>18.600000000000001</v>
      </c>
      <c r="D27">
        <v>16.100000000000001</v>
      </c>
      <c r="E27">
        <v>11.4</v>
      </c>
      <c r="F27">
        <v>7.8</v>
      </c>
      <c r="G27">
        <v>5.3</v>
      </c>
      <c r="H27">
        <v>4.7</v>
      </c>
      <c r="I27">
        <v>6.6</v>
      </c>
      <c r="J27">
        <v>8.6</v>
      </c>
      <c r="K27">
        <v>11.5</v>
      </c>
      <c r="L27">
        <v>13.8</v>
      </c>
      <c r="M27">
        <v>16.899999999999999</v>
      </c>
      <c r="N27" s="11">
        <f t="shared" si="0"/>
        <v>11.766666666666666</v>
      </c>
      <c r="O27" s="11">
        <f t="shared" si="1"/>
        <v>5.5333333333333341</v>
      </c>
      <c r="P27" s="11">
        <f t="shared" si="2"/>
        <v>11.300000000000002</v>
      </c>
      <c r="Q27" s="11">
        <f t="shared" si="3"/>
        <v>18.033333333333331</v>
      </c>
    </row>
    <row r="28" spans="1:17" x14ac:dyDescent="0.25">
      <c r="A28">
        <v>1927</v>
      </c>
      <c r="B28">
        <v>17.5</v>
      </c>
      <c r="C28">
        <v>19.7</v>
      </c>
      <c r="D28">
        <v>17</v>
      </c>
      <c r="E28">
        <v>12.8</v>
      </c>
      <c r="F28">
        <v>8</v>
      </c>
      <c r="G28">
        <v>5.8</v>
      </c>
      <c r="H28">
        <v>4.5999999999999996</v>
      </c>
      <c r="I28">
        <v>6.7000010000000003</v>
      </c>
      <c r="J28">
        <v>7.7</v>
      </c>
      <c r="K28">
        <v>12.4</v>
      </c>
      <c r="L28">
        <v>14.5</v>
      </c>
      <c r="M28">
        <v>16.2</v>
      </c>
      <c r="N28" s="11">
        <f t="shared" si="0"/>
        <v>12.6</v>
      </c>
      <c r="O28" s="11">
        <f t="shared" si="1"/>
        <v>5.7000003333333327</v>
      </c>
      <c r="P28" s="11">
        <f t="shared" si="2"/>
        <v>11.533333333333333</v>
      </c>
      <c r="Q28" s="11">
        <f t="shared" si="3"/>
        <v>17.033333333333335</v>
      </c>
    </row>
    <row r="29" spans="1:17" x14ac:dyDescent="0.25">
      <c r="A29">
        <v>1928</v>
      </c>
      <c r="B29">
        <v>17</v>
      </c>
      <c r="C29">
        <v>17.899999999999999</v>
      </c>
      <c r="D29">
        <v>14.8</v>
      </c>
      <c r="E29">
        <v>10.9</v>
      </c>
      <c r="F29">
        <v>7.6</v>
      </c>
      <c r="G29">
        <v>4.8</v>
      </c>
      <c r="H29">
        <v>5.3</v>
      </c>
      <c r="I29">
        <v>6.800001</v>
      </c>
      <c r="J29">
        <v>9.7999989999999997</v>
      </c>
      <c r="K29">
        <v>13.4</v>
      </c>
      <c r="L29">
        <v>14.5</v>
      </c>
      <c r="M29">
        <v>15.6</v>
      </c>
      <c r="N29" s="11">
        <f t="shared" si="0"/>
        <v>11.100000000000001</v>
      </c>
      <c r="O29" s="11">
        <f t="shared" si="1"/>
        <v>5.6333336666666662</v>
      </c>
      <c r="P29" s="11">
        <f t="shared" si="2"/>
        <v>12.566666333333332</v>
      </c>
      <c r="Q29" s="11">
        <f t="shared" si="3"/>
        <v>17.666666666666668</v>
      </c>
    </row>
    <row r="30" spans="1:17" x14ac:dyDescent="0.25">
      <c r="A30">
        <v>1929</v>
      </c>
      <c r="B30">
        <v>19.2</v>
      </c>
      <c r="C30">
        <v>18.2</v>
      </c>
      <c r="D30">
        <v>16</v>
      </c>
      <c r="E30">
        <v>13.6</v>
      </c>
      <c r="F30">
        <v>7.9</v>
      </c>
      <c r="G30">
        <v>5.9</v>
      </c>
      <c r="H30">
        <v>5.9</v>
      </c>
      <c r="I30">
        <v>6.4000009999999996</v>
      </c>
      <c r="J30">
        <v>8.9000009999999996</v>
      </c>
      <c r="K30">
        <v>11.3</v>
      </c>
      <c r="L30">
        <v>14</v>
      </c>
      <c r="M30">
        <v>15.2</v>
      </c>
      <c r="N30" s="11">
        <f t="shared" si="0"/>
        <v>12.5</v>
      </c>
      <c r="O30" s="11">
        <f t="shared" si="1"/>
        <v>6.0666669999999998</v>
      </c>
      <c r="P30" s="11">
        <f t="shared" si="2"/>
        <v>11.400000333333333</v>
      </c>
      <c r="Q30" s="11">
        <f t="shared" si="3"/>
        <v>17.833333333333332</v>
      </c>
    </row>
    <row r="31" spans="1:17" x14ac:dyDescent="0.25">
      <c r="A31">
        <v>1930</v>
      </c>
      <c r="B31">
        <v>18.399999999999999</v>
      </c>
      <c r="C31">
        <v>19.899999999999999</v>
      </c>
      <c r="D31">
        <v>16</v>
      </c>
      <c r="E31">
        <v>13</v>
      </c>
      <c r="F31">
        <v>8.3000000000000007</v>
      </c>
      <c r="G31">
        <v>6.3</v>
      </c>
      <c r="H31">
        <v>3.9</v>
      </c>
      <c r="I31">
        <v>5.3</v>
      </c>
      <c r="J31">
        <v>10.4</v>
      </c>
      <c r="K31">
        <v>11.2</v>
      </c>
      <c r="L31">
        <v>15.1</v>
      </c>
      <c r="M31">
        <v>16.3</v>
      </c>
      <c r="N31" s="11">
        <f t="shared" si="0"/>
        <v>12.433333333333332</v>
      </c>
      <c r="O31" s="11">
        <f t="shared" si="1"/>
        <v>5.166666666666667</v>
      </c>
      <c r="P31" s="11">
        <f t="shared" si="2"/>
        <v>12.233333333333334</v>
      </c>
      <c r="Q31" s="11">
        <f t="shared" si="3"/>
        <v>18.2</v>
      </c>
    </row>
    <row r="32" spans="1:17" x14ac:dyDescent="0.25">
      <c r="A32">
        <v>1931</v>
      </c>
      <c r="B32">
        <v>18.7</v>
      </c>
      <c r="C32">
        <v>19.600000000000001</v>
      </c>
      <c r="D32">
        <v>16.100000000000001</v>
      </c>
      <c r="E32">
        <v>11.7</v>
      </c>
      <c r="F32">
        <v>7.1</v>
      </c>
      <c r="G32">
        <v>4.9000000000000004</v>
      </c>
      <c r="H32">
        <v>4.5</v>
      </c>
      <c r="I32">
        <v>6</v>
      </c>
      <c r="J32">
        <v>8.3000000000000007</v>
      </c>
      <c r="K32">
        <v>11.8</v>
      </c>
      <c r="L32">
        <v>14</v>
      </c>
      <c r="M32">
        <v>16.899999999999999</v>
      </c>
      <c r="N32" s="11">
        <f>IF(AND(ISNUMBER(D32),ISNUMBER(E32),ISNUMBER(F32)),AVERAGE(D32:F32),"")</f>
        <v>11.633333333333333</v>
      </c>
      <c r="O32" s="11">
        <f>IF(AND(ISNUMBER(G32),ISNUMBER(H32),ISNUMBER(I32)),AVERAGE(G32:I32),"")</f>
        <v>5.1333333333333337</v>
      </c>
      <c r="P32" s="11">
        <f>IF(AND(ISNUMBER(J32),ISNUMBER(K32),ISNUMBER(L32)),AVERAGE(J32:L32),"")</f>
        <v>11.366666666666667</v>
      </c>
      <c r="Q32" s="11">
        <f>IF(AND(ISNUMBER(M32),ISNUMBER(B33),ISNUMBER(C33)),AVERAGE(M32,B33:C33),"")</f>
        <v>18.099999999999998</v>
      </c>
    </row>
    <row r="33" spans="1:17" x14ac:dyDescent="0.25">
      <c r="A33">
        <v>1932</v>
      </c>
      <c r="B33">
        <v>18.5</v>
      </c>
      <c r="C33">
        <v>18.899999999999999</v>
      </c>
      <c r="D33">
        <v>15.7</v>
      </c>
      <c r="E33">
        <v>11.9</v>
      </c>
      <c r="F33">
        <v>7.9</v>
      </c>
      <c r="G33">
        <v>5.0999999999999996</v>
      </c>
      <c r="H33">
        <v>5.5999990000000004</v>
      </c>
      <c r="I33">
        <v>5.5</v>
      </c>
      <c r="J33">
        <v>8.1999999999999993</v>
      </c>
      <c r="K33">
        <v>11.6</v>
      </c>
      <c r="L33">
        <v>14.5</v>
      </c>
      <c r="M33">
        <v>16.399999999999999</v>
      </c>
      <c r="N33" s="11">
        <f t="shared" ref="N33:N96" si="4">IF(AND(ISNUMBER(D33),ISNUMBER(E33),ISNUMBER(F33)),AVERAGE(D33:F33),"")</f>
        <v>11.833333333333334</v>
      </c>
      <c r="O33" s="11">
        <f t="shared" ref="O33:O96" si="5">IF(AND(ISNUMBER(G33),ISNUMBER(H33),ISNUMBER(I33)),AVERAGE(G33:I33),"")</f>
        <v>5.3999996666666661</v>
      </c>
      <c r="P33" s="11">
        <f t="shared" ref="P33:P96" si="6">IF(AND(ISNUMBER(J33),ISNUMBER(K33),ISNUMBER(L33)),AVERAGE(J33:L33),"")</f>
        <v>11.433333333333332</v>
      </c>
      <c r="Q33" s="11">
        <f t="shared" ref="Q33:Q96" si="7">IF(AND(ISNUMBER(M33),ISNUMBER(B34),ISNUMBER(C34)),AVERAGE(M33,B34:C34),"")</f>
        <v>17.133333333333329</v>
      </c>
    </row>
    <row r="34" spans="1:17" x14ac:dyDescent="0.25">
      <c r="A34">
        <v>1933</v>
      </c>
      <c r="B34">
        <v>17.7</v>
      </c>
      <c r="C34">
        <v>17.3</v>
      </c>
      <c r="D34">
        <v>14.7</v>
      </c>
      <c r="E34">
        <v>12.6</v>
      </c>
      <c r="F34">
        <v>8.6999999999999993</v>
      </c>
      <c r="G34">
        <v>4.9000000000000004</v>
      </c>
      <c r="H34">
        <v>4.8</v>
      </c>
      <c r="I34">
        <v>6.7000010000000003</v>
      </c>
      <c r="J34">
        <v>9.4000009999999996</v>
      </c>
      <c r="K34">
        <v>11.1</v>
      </c>
      <c r="L34">
        <v>13.9</v>
      </c>
      <c r="M34">
        <v>14.9</v>
      </c>
      <c r="N34" s="11">
        <f t="shared" si="4"/>
        <v>12</v>
      </c>
      <c r="O34" s="11">
        <f t="shared" si="5"/>
        <v>5.4666670000000002</v>
      </c>
      <c r="P34" s="11">
        <f t="shared" si="6"/>
        <v>11.466666999999999</v>
      </c>
      <c r="Q34" s="11">
        <f t="shared" si="7"/>
        <v>16.733333333333331</v>
      </c>
    </row>
    <row r="35" spans="1:17" x14ac:dyDescent="0.25">
      <c r="A35">
        <v>1934</v>
      </c>
      <c r="B35">
        <v>18.399999999999999</v>
      </c>
      <c r="C35">
        <v>16.899999999999999</v>
      </c>
      <c r="D35">
        <v>15.3</v>
      </c>
      <c r="E35">
        <v>12.3</v>
      </c>
      <c r="F35">
        <v>7.9</v>
      </c>
      <c r="G35">
        <v>4.2000010000000003</v>
      </c>
      <c r="H35">
        <v>5.2</v>
      </c>
      <c r="I35">
        <v>7.4000009999999996</v>
      </c>
      <c r="J35">
        <v>9</v>
      </c>
      <c r="K35">
        <v>11.6</v>
      </c>
      <c r="L35">
        <v>14.1</v>
      </c>
      <c r="M35">
        <v>16.399999999999999</v>
      </c>
      <c r="N35" s="11">
        <f t="shared" si="4"/>
        <v>11.833333333333334</v>
      </c>
      <c r="O35" s="11">
        <f t="shared" si="5"/>
        <v>5.6000006666666664</v>
      </c>
      <c r="P35" s="11">
        <f t="shared" si="6"/>
        <v>11.566666666666668</v>
      </c>
      <c r="Q35" s="11">
        <f t="shared" si="7"/>
        <v>17.366666666666664</v>
      </c>
    </row>
    <row r="36" spans="1:17" x14ac:dyDescent="0.25">
      <c r="A36">
        <v>1935</v>
      </c>
      <c r="B36">
        <v>18.2</v>
      </c>
      <c r="C36">
        <v>17.5</v>
      </c>
      <c r="D36">
        <v>17</v>
      </c>
      <c r="E36">
        <v>12.2</v>
      </c>
      <c r="F36">
        <v>10.199999999999999</v>
      </c>
      <c r="G36">
        <v>6.4000009999999996</v>
      </c>
      <c r="H36">
        <v>5.2</v>
      </c>
      <c r="I36">
        <v>7.6</v>
      </c>
      <c r="J36">
        <v>7.8</v>
      </c>
      <c r="K36">
        <v>10.4</v>
      </c>
      <c r="L36">
        <v>14.8</v>
      </c>
      <c r="M36">
        <v>15.5</v>
      </c>
      <c r="N36" s="11">
        <f t="shared" si="4"/>
        <v>13.133333333333333</v>
      </c>
      <c r="O36" s="11">
        <f t="shared" si="5"/>
        <v>6.4000003333333337</v>
      </c>
      <c r="P36" s="11">
        <f t="shared" si="6"/>
        <v>11</v>
      </c>
      <c r="Q36" s="11">
        <f t="shared" si="7"/>
        <v>17.8</v>
      </c>
    </row>
    <row r="37" spans="1:17" x14ac:dyDescent="0.25">
      <c r="A37">
        <v>1936</v>
      </c>
      <c r="B37">
        <v>18.100000000000001</v>
      </c>
      <c r="C37">
        <v>19.8</v>
      </c>
      <c r="D37">
        <v>16.7</v>
      </c>
      <c r="E37">
        <v>12.6</v>
      </c>
      <c r="F37">
        <v>7.5</v>
      </c>
      <c r="G37">
        <v>4.8</v>
      </c>
      <c r="H37">
        <v>6.3</v>
      </c>
      <c r="I37">
        <v>6.6</v>
      </c>
      <c r="J37">
        <v>9</v>
      </c>
      <c r="K37">
        <v>11.6</v>
      </c>
      <c r="L37">
        <v>16.100000000000001</v>
      </c>
      <c r="M37">
        <v>15.5</v>
      </c>
      <c r="N37" s="11">
        <f t="shared" si="4"/>
        <v>12.266666666666666</v>
      </c>
      <c r="O37" s="11">
        <f t="shared" si="5"/>
        <v>5.8999999999999995</v>
      </c>
      <c r="P37" s="11">
        <f t="shared" si="6"/>
        <v>12.233333333333334</v>
      </c>
      <c r="Q37" s="11">
        <f t="shared" si="7"/>
        <v>17.533333333333335</v>
      </c>
    </row>
    <row r="38" spans="1:17" x14ac:dyDescent="0.25">
      <c r="A38">
        <v>1937</v>
      </c>
      <c r="B38">
        <v>19.5</v>
      </c>
      <c r="C38">
        <v>17.600000000000001</v>
      </c>
      <c r="D38">
        <v>15.7</v>
      </c>
      <c r="E38">
        <v>13</v>
      </c>
      <c r="F38">
        <v>7.5</v>
      </c>
      <c r="G38">
        <v>6</v>
      </c>
      <c r="H38">
        <v>4.9000000000000004</v>
      </c>
      <c r="I38">
        <v>5.0999999999999996</v>
      </c>
      <c r="J38">
        <v>9.3000000000000007</v>
      </c>
      <c r="K38">
        <v>12.6</v>
      </c>
      <c r="L38">
        <v>13.7</v>
      </c>
      <c r="M38">
        <v>17.899999999999999</v>
      </c>
      <c r="N38" s="11">
        <f t="shared" si="4"/>
        <v>12.066666666666668</v>
      </c>
      <c r="O38" s="11">
        <f t="shared" si="5"/>
        <v>5.333333333333333</v>
      </c>
      <c r="P38" s="11">
        <f t="shared" si="6"/>
        <v>11.866666666666665</v>
      </c>
      <c r="Q38" s="11">
        <f t="shared" si="7"/>
        <v>17.900000000000002</v>
      </c>
    </row>
    <row r="39" spans="1:17" x14ac:dyDescent="0.25">
      <c r="A39">
        <v>1938</v>
      </c>
      <c r="B39">
        <v>16.8</v>
      </c>
      <c r="C39">
        <v>19</v>
      </c>
      <c r="D39">
        <v>15.5</v>
      </c>
      <c r="E39">
        <v>12.3</v>
      </c>
      <c r="F39">
        <v>9</v>
      </c>
      <c r="G39">
        <v>5.3</v>
      </c>
      <c r="H39">
        <v>4.5999999999999996</v>
      </c>
      <c r="I39">
        <v>6.2</v>
      </c>
      <c r="J39">
        <v>8.1</v>
      </c>
      <c r="K39">
        <v>12.2</v>
      </c>
      <c r="L39">
        <v>13.7</v>
      </c>
      <c r="M39">
        <v>17.2</v>
      </c>
      <c r="N39" s="11">
        <f t="shared" si="4"/>
        <v>12.266666666666666</v>
      </c>
      <c r="O39" s="11">
        <f t="shared" si="5"/>
        <v>5.3666666666666663</v>
      </c>
      <c r="P39" s="11">
        <f t="shared" si="6"/>
        <v>11.333333333333334</v>
      </c>
      <c r="Q39" s="11">
        <f t="shared" si="7"/>
        <v>17.433333333333334</v>
      </c>
    </row>
    <row r="40" spans="1:17" x14ac:dyDescent="0.25">
      <c r="A40">
        <v>1939</v>
      </c>
      <c r="B40">
        <v>17.100000000000001</v>
      </c>
      <c r="C40">
        <v>18</v>
      </c>
      <c r="D40">
        <v>15.8</v>
      </c>
      <c r="E40">
        <v>11.2</v>
      </c>
      <c r="F40">
        <v>7.5</v>
      </c>
      <c r="G40">
        <v>5.6</v>
      </c>
      <c r="H40">
        <v>6.4000009999999996</v>
      </c>
      <c r="I40">
        <v>6.4000009999999996</v>
      </c>
      <c r="J40">
        <v>8.5</v>
      </c>
      <c r="K40">
        <v>10.9</v>
      </c>
      <c r="L40">
        <v>13.2</v>
      </c>
      <c r="M40">
        <v>17.600000000000001</v>
      </c>
      <c r="N40" s="11">
        <f t="shared" si="4"/>
        <v>11.5</v>
      </c>
      <c r="O40" s="11">
        <f t="shared" si="5"/>
        <v>6.1333340000000005</v>
      </c>
      <c r="P40" s="11">
        <f t="shared" si="6"/>
        <v>10.866666666666665</v>
      </c>
      <c r="Q40" s="11">
        <f t="shared" si="7"/>
        <v>18</v>
      </c>
    </row>
    <row r="41" spans="1:17" x14ac:dyDescent="0.25">
      <c r="A41">
        <v>1940</v>
      </c>
      <c r="B41">
        <v>17.7</v>
      </c>
      <c r="C41">
        <v>18.7</v>
      </c>
      <c r="D41">
        <v>15.4</v>
      </c>
      <c r="E41">
        <v>11.3</v>
      </c>
      <c r="F41">
        <v>8.5</v>
      </c>
      <c r="G41">
        <v>6.7000010000000003</v>
      </c>
      <c r="H41">
        <v>6.4000009999999996</v>
      </c>
      <c r="I41">
        <v>6.5</v>
      </c>
      <c r="J41">
        <v>9.3000000000000007</v>
      </c>
      <c r="K41">
        <v>11.4</v>
      </c>
      <c r="L41">
        <v>14.7</v>
      </c>
      <c r="M41">
        <v>15.9</v>
      </c>
      <c r="N41" s="11">
        <f t="shared" si="4"/>
        <v>11.733333333333334</v>
      </c>
      <c r="O41" s="11">
        <f t="shared" si="5"/>
        <v>6.533334</v>
      </c>
      <c r="P41" s="11">
        <f t="shared" si="6"/>
        <v>11.800000000000002</v>
      </c>
      <c r="Q41" s="11">
        <f t="shared" si="7"/>
        <v>18.066666666666666</v>
      </c>
    </row>
    <row r="42" spans="1:17" x14ac:dyDescent="0.25">
      <c r="A42">
        <v>1941</v>
      </c>
      <c r="B42">
        <v>19.3</v>
      </c>
      <c r="C42">
        <v>19</v>
      </c>
      <c r="D42">
        <v>16.5</v>
      </c>
      <c r="E42">
        <v>10.6</v>
      </c>
      <c r="F42">
        <v>7.1</v>
      </c>
      <c r="G42">
        <v>5.7</v>
      </c>
      <c r="H42">
        <v>6.7000010000000003</v>
      </c>
      <c r="I42">
        <v>7.9</v>
      </c>
      <c r="J42">
        <v>8.1</v>
      </c>
      <c r="K42">
        <v>12.9</v>
      </c>
      <c r="L42">
        <v>13.1</v>
      </c>
      <c r="M42">
        <v>16.3</v>
      </c>
      <c r="N42" s="11">
        <f t="shared" si="4"/>
        <v>11.4</v>
      </c>
      <c r="O42" s="11">
        <f t="shared" si="5"/>
        <v>6.7666670000000009</v>
      </c>
      <c r="P42" s="11">
        <f t="shared" si="6"/>
        <v>11.366666666666667</v>
      </c>
      <c r="Q42" s="11">
        <f t="shared" si="7"/>
        <v>17.733333333333331</v>
      </c>
    </row>
    <row r="43" spans="1:17" x14ac:dyDescent="0.25">
      <c r="A43">
        <v>1942</v>
      </c>
      <c r="B43">
        <v>18.5</v>
      </c>
      <c r="C43">
        <v>18.399999999999999</v>
      </c>
      <c r="D43">
        <v>15.2</v>
      </c>
      <c r="E43">
        <v>12.6</v>
      </c>
      <c r="F43">
        <v>7.9</v>
      </c>
      <c r="G43">
        <v>4.5</v>
      </c>
      <c r="H43">
        <v>4.8</v>
      </c>
      <c r="I43">
        <v>5.7</v>
      </c>
      <c r="J43">
        <v>9.4000009999999996</v>
      </c>
      <c r="K43">
        <v>12.5</v>
      </c>
      <c r="L43">
        <v>16.399999999999999</v>
      </c>
      <c r="M43">
        <v>19.3</v>
      </c>
      <c r="N43" s="11">
        <f t="shared" si="4"/>
        <v>11.899999999999999</v>
      </c>
      <c r="O43" s="11">
        <f t="shared" si="5"/>
        <v>5</v>
      </c>
      <c r="P43" s="11">
        <f t="shared" si="6"/>
        <v>12.766666999999998</v>
      </c>
      <c r="Q43" s="11">
        <f t="shared" si="7"/>
        <v>19.500000000000004</v>
      </c>
    </row>
    <row r="44" spans="1:17" x14ac:dyDescent="0.25">
      <c r="A44">
        <v>1943</v>
      </c>
      <c r="B44">
        <v>19.600000000000001</v>
      </c>
      <c r="C44">
        <v>19.600000000000001</v>
      </c>
      <c r="D44">
        <v>15.7</v>
      </c>
      <c r="E44">
        <v>14</v>
      </c>
      <c r="F44">
        <v>9.6999999999999993</v>
      </c>
      <c r="G44">
        <v>5.0999999999999996</v>
      </c>
      <c r="H44">
        <v>5.8</v>
      </c>
      <c r="I44">
        <v>5.7</v>
      </c>
      <c r="J44">
        <v>8.6999999999999993</v>
      </c>
      <c r="K44">
        <v>12.9</v>
      </c>
      <c r="L44">
        <v>15.5</v>
      </c>
      <c r="M44">
        <v>19.600000000000001</v>
      </c>
      <c r="N44" s="11">
        <f t="shared" si="4"/>
        <v>13.133333333333333</v>
      </c>
      <c r="O44" s="11">
        <f t="shared" si="5"/>
        <v>5.5333333333333323</v>
      </c>
      <c r="P44" s="11">
        <f t="shared" si="6"/>
        <v>12.366666666666667</v>
      </c>
      <c r="Q44" s="11">
        <f t="shared" si="7"/>
        <v>19.5</v>
      </c>
    </row>
    <row r="45" spans="1:17" x14ac:dyDescent="0.25">
      <c r="A45">
        <v>1944</v>
      </c>
      <c r="B45">
        <v>19.2</v>
      </c>
      <c r="C45">
        <v>19.7</v>
      </c>
      <c r="D45">
        <v>18.5</v>
      </c>
      <c r="E45">
        <v>13.5</v>
      </c>
      <c r="F45">
        <v>9.4000009999999996</v>
      </c>
      <c r="G45">
        <v>6</v>
      </c>
      <c r="H45">
        <v>5.2</v>
      </c>
      <c r="I45">
        <v>6</v>
      </c>
      <c r="J45">
        <v>9.3000000000000007</v>
      </c>
      <c r="K45">
        <v>11.5</v>
      </c>
      <c r="L45">
        <v>15.6</v>
      </c>
      <c r="M45">
        <v>18.5</v>
      </c>
      <c r="N45" s="11">
        <f t="shared" si="4"/>
        <v>13.800000333333335</v>
      </c>
      <c r="O45" s="11">
        <f t="shared" si="5"/>
        <v>5.7333333333333334</v>
      </c>
      <c r="P45" s="11">
        <f t="shared" si="6"/>
        <v>12.133333333333333</v>
      </c>
      <c r="Q45" s="11">
        <f t="shared" si="7"/>
        <v>19.566666666666666</v>
      </c>
    </row>
    <row r="46" spans="1:17" x14ac:dyDescent="0.25">
      <c r="A46">
        <v>1945</v>
      </c>
      <c r="B46">
        <v>20.2</v>
      </c>
      <c r="C46">
        <v>20</v>
      </c>
      <c r="D46">
        <v>17.7</v>
      </c>
      <c r="E46">
        <v>13.1</v>
      </c>
      <c r="F46">
        <v>9.1</v>
      </c>
      <c r="G46">
        <v>5.8</v>
      </c>
      <c r="H46">
        <v>4.3</v>
      </c>
      <c r="I46">
        <v>6.6</v>
      </c>
      <c r="J46">
        <v>10.1</v>
      </c>
      <c r="K46">
        <v>13</v>
      </c>
      <c r="L46">
        <v>14.7</v>
      </c>
      <c r="M46">
        <v>16.600000000000001</v>
      </c>
      <c r="N46" s="11">
        <f t="shared" si="4"/>
        <v>13.299999999999999</v>
      </c>
      <c r="O46" s="11">
        <f t="shared" si="5"/>
        <v>5.5666666666666664</v>
      </c>
      <c r="P46" s="11">
        <f t="shared" si="6"/>
        <v>12.6</v>
      </c>
      <c r="Q46" s="11">
        <f t="shared" si="7"/>
        <v>17.166666666666668</v>
      </c>
    </row>
    <row r="47" spans="1:17" x14ac:dyDescent="0.25">
      <c r="A47">
        <v>1946</v>
      </c>
      <c r="B47">
        <v>17.600000000000001</v>
      </c>
      <c r="C47">
        <v>17.3</v>
      </c>
      <c r="D47">
        <v>15.7</v>
      </c>
      <c r="E47">
        <v>13.4</v>
      </c>
      <c r="F47">
        <v>8.5</v>
      </c>
      <c r="G47">
        <v>5.3</v>
      </c>
      <c r="H47">
        <v>5.8</v>
      </c>
      <c r="I47">
        <v>6.9000009999999996</v>
      </c>
      <c r="J47">
        <v>8.5</v>
      </c>
      <c r="K47">
        <v>11.6</v>
      </c>
      <c r="L47">
        <v>14.3</v>
      </c>
      <c r="M47">
        <v>16.600000000000001</v>
      </c>
      <c r="N47" s="11">
        <f t="shared" si="4"/>
        <v>12.533333333333333</v>
      </c>
      <c r="O47" s="11">
        <f t="shared" si="5"/>
        <v>6.0000003333333325</v>
      </c>
      <c r="P47" s="11">
        <f t="shared" si="6"/>
        <v>11.466666666666669</v>
      </c>
      <c r="Q47" s="11">
        <f t="shared" si="7"/>
        <v>17.466666666666665</v>
      </c>
    </row>
    <row r="48" spans="1:17" x14ac:dyDescent="0.25">
      <c r="A48">
        <v>1947</v>
      </c>
      <c r="B48">
        <v>17.2</v>
      </c>
      <c r="C48">
        <v>18.600000000000001</v>
      </c>
      <c r="D48">
        <v>15.8</v>
      </c>
      <c r="E48">
        <v>12.5</v>
      </c>
      <c r="F48">
        <v>8.9000009999999996</v>
      </c>
      <c r="G48">
        <v>7.2000010000000003</v>
      </c>
      <c r="H48">
        <v>5.3</v>
      </c>
      <c r="I48">
        <v>6.4000009999999996</v>
      </c>
      <c r="J48">
        <v>8.8000000000000007</v>
      </c>
      <c r="K48">
        <v>13.5</v>
      </c>
      <c r="L48">
        <v>17.5</v>
      </c>
      <c r="M48">
        <v>16.3</v>
      </c>
      <c r="N48" s="11">
        <f t="shared" si="4"/>
        <v>12.400000333333333</v>
      </c>
      <c r="O48" s="11">
        <f t="shared" si="5"/>
        <v>6.3000006666666666</v>
      </c>
      <c r="P48" s="11">
        <f t="shared" si="6"/>
        <v>13.266666666666666</v>
      </c>
      <c r="Q48" s="11">
        <f t="shared" si="7"/>
        <v>17.666666666666668</v>
      </c>
    </row>
    <row r="49" spans="1:17" x14ac:dyDescent="0.25">
      <c r="A49">
        <v>1948</v>
      </c>
      <c r="B49">
        <v>18.100000000000001</v>
      </c>
      <c r="C49">
        <v>18.600000000000001</v>
      </c>
      <c r="D49">
        <v>15.3</v>
      </c>
      <c r="E49">
        <v>12.4</v>
      </c>
      <c r="F49">
        <v>8.9000009999999996</v>
      </c>
      <c r="G49">
        <v>5.6</v>
      </c>
      <c r="H49">
        <v>4.4000000000000004</v>
      </c>
      <c r="I49">
        <v>4.5999999999999996</v>
      </c>
      <c r="J49">
        <v>9.4000009999999996</v>
      </c>
      <c r="K49">
        <v>12.2</v>
      </c>
      <c r="L49">
        <v>15.4</v>
      </c>
      <c r="M49">
        <v>16.8</v>
      </c>
      <c r="N49" s="11">
        <f t="shared" si="4"/>
        <v>12.200000333333335</v>
      </c>
      <c r="O49" s="11">
        <f t="shared" si="5"/>
        <v>4.8666666666666663</v>
      </c>
      <c r="P49" s="11">
        <f t="shared" si="6"/>
        <v>12.333333666666666</v>
      </c>
      <c r="Q49" s="11">
        <f t="shared" si="7"/>
        <v>18.266666666666666</v>
      </c>
    </row>
    <row r="50" spans="1:17" x14ac:dyDescent="0.25">
      <c r="A50">
        <v>1949</v>
      </c>
      <c r="B50">
        <v>19.8</v>
      </c>
      <c r="C50">
        <v>18.2</v>
      </c>
      <c r="D50">
        <v>15.1</v>
      </c>
      <c r="E50">
        <v>13.6</v>
      </c>
      <c r="F50">
        <v>7.9</v>
      </c>
      <c r="G50">
        <v>5.7</v>
      </c>
      <c r="H50">
        <v>5.4</v>
      </c>
      <c r="I50">
        <v>6.2</v>
      </c>
      <c r="J50">
        <v>9.1</v>
      </c>
      <c r="K50">
        <v>13.3</v>
      </c>
      <c r="L50">
        <v>16.2</v>
      </c>
      <c r="M50">
        <v>17</v>
      </c>
      <c r="N50" s="11">
        <f t="shared" si="4"/>
        <v>12.200000000000001</v>
      </c>
      <c r="O50" s="11">
        <f t="shared" si="5"/>
        <v>5.7666666666666666</v>
      </c>
      <c r="P50" s="11">
        <f t="shared" si="6"/>
        <v>12.866666666666665</v>
      </c>
      <c r="Q50" s="11">
        <f t="shared" si="7"/>
        <v>18.533333333333331</v>
      </c>
    </row>
    <row r="51" spans="1:17" x14ac:dyDescent="0.25">
      <c r="A51">
        <v>1950</v>
      </c>
      <c r="B51">
        <v>19.3</v>
      </c>
      <c r="C51">
        <v>19.3</v>
      </c>
      <c r="D51">
        <v>16.7</v>
      </c>
      <c r="E51">
        <v>11.9</v>
      </c>
      <c r="F51">
        <v>7.2</v>
      </c>
      <c r="G51">
        <v>6.4000009999999996</v>
      </c>
      <c r="H51">
        <v>5.7</v>
      </c>
      <c r="I51">
        <v>5.6</v>
      </c>
      <c r="J51">
        <v>7.5999990000000004</v>
      </c>
      <c r="K51">
        <v>10.6</v>
      </c>
      <c r="L51">
        <v>13</v>
      </c>
      <c r="M51">
        <v>15.9</v>
      </c>
      <c r="N51" s="11">
        <f t="shared" si="4"/>
        <v>11.933333333333335</v>
      </c>
      <c r="O51" s="11">
        <f t="shared" si="5"/>
        <v>5.9000003333333337</v>
      </c>
      <c r="P51" s="11">
        <f t="shared" si="6"/>
        <v>10.399999666666666</v>
      </c>
      <c r="Q51" s="11">
        <f t="shared" si="7"/>
        <v>17.899999999999999</v>
      </c>
    </row>
    <row r="52" spans="1:17" x14ac:dyDescent="0.25">
      <c r="A52">
        <v>1951</v>
      </c>
      <c r="B52">
        <v>18.899999999999999</v>
      </c>
      <c r="C52">
        <v>18.899999999999999</v>
      </c>
      <c r="D52">
        <v>16.3</v>
      </c>
      <c r="E52">
        <v>13.2</v>
      </c>
      <c r="F52">
        <v>10.3</v>
      </c>
      <c r="G52">
        <v>6.7000010000000003</v>
      </c>
      <c r="H52">
        <v>5.8</v>
      </c>
      <c r="I52">
        <v>7.300001</v>
      </c>
      <c r="J52">
        <v>7.9</v>
      </c>
      <c r="K52">
        <v>12.4</v>
      </c>
      <c r="L52">
        <v>14.2</v>
      </c>
      <c r="M52">
        <v>18.899999999999999</v>
      </c>
      <c r="N52" s="11">
        <f t="shared" si="4"/>
        <v>13.266666666666666</v>
      </c>
      <c r="O52" s="11">
        <f t="shared" si="5"/>
        <v>6.6000006666666664</v>
      </c>
      <c r="P52" s="11">
        <f t="shared" si="6"/>
        <v>11.5</v>
      </c>
      <c r="Q52" s="11">
        <f t="shared" si="7"/>
        <v>19.400000000000002</v>
      </c>
    </row>
    <row r="53" spans="1:17" x14ac:dyDescent="0.25">
      <c r="A53">
        <v>1952</v>
      </c>
      <c r="B53">
        <v>19.100000000000001</v>
      </c>
      <c r="C53">
        <v>20.2</v>
      </c>
      <c r="D53">
        <v>15.9</v>
      </c>
      <c r="E53">
        <v>13.8</v>
      </c>
      <c r="F53">
        <v>8.8000000000000007</v>
      </c>
      <c r="G53">
        <v>4.7</v>
      </c>
      <c r="H53">
        <v>5.8</v>
      </c>
      <c r="I53">
        <v>6.1</v>
      </c>
      <c r="J53">
        <v>10.3</v>
      </c>
      <c r="K53">
        <v>12.8</v>
      </c>
      <c r="L53">
        <v>16.2</v>
      </c>
      <c r="M53">
        <v>19.100000000000001</v>
      </c>
      <c r="N53" s="11">
        <f t="shared" si="4"/>
        <v>12.833333333333334</v>
      </c>
      <c r="O53" s="11">
        <f t="shared" si="5"/>
        <v>5.5333333333333341</v>
      </c>
      <c r="P53" s="11">
        <f t="shared" si="6"/>
        <v>13.1</v>
      </c>
      <c r="Q53" s="11">
        <f t="shared" si="7"/>
        <v>19.766666666666666</v>
      </c>
    </row>
    <row r="54" spans="1:17" x14ac:dyDescent="0.25">
      <c r="A54">
        <v>1953</v>
      </c>
      <c r="B54">
        <v>19.2</v>
      </c>
      <c r="C54">
        <v>21</v>
      </c>
      <c r="D54">
        <v>16.899999999999999</v>
      </c>
      <c r="E54">
        <v>13.9</v>
      </c>
      <c r="F54">
        <v>10.3</v>
      </c>
      <c r="G54">
        <v>6.6</v>
      </c>
      <c r="H54">
        <v>5.2</v>
      </c>
      <c r="I54">
        <v>7.300001</v>
      </c>
      <c r="J54">
        <v>8.9000009999999996</v>
      </c>
      <c r="K54">
        <v>11.2</v>
      </c>
      <c r="L54">
        <v>15.2</v>
      </c>
      <c r="M54">
        <v>19.100000000000001</v>
      </c>
      <c r="N54" s="11">
        <f t="shared" si="4"/>
        <v>13.699999999999998</v>
      </c>
      <c r="O54" s="11">
        <f t="shared" si="5"/>
        <v>6.3666669999999996</v>
      </c>
      <c r="P54" s="11">
        <f t="shared" si="6"/>
        <v>11.766666999999998</v>
      </c>
      <c r="Q54" s="11">
        <f t="shared" si="7"/>
        <v>19.099999999999998</v>
      </c>
    </row>
    <row r="55" spans="1:17" x14ac:dyDescent="0.25">
      <c r="A55">
        <v>1954</v>
      </c>
      <c r="B55">
        <v>18.5</v>
      </c>
      <c r="C55">
        <v>19.7</v>
      </c>
      <c r="D55">
        <v>18.600000000000001</v>
      </c>
      <c r="E55">
        <v>13.3</v>
      </c>
      <c r="F55">
        <v>9</v>
      </c>
      <c r="G55">
        <v>7.1</v>
      </c>
      <c r="H55">
        <v>5.2</v>
      </c>
      <c r="I55">
        <v>6.800001</v>
      </c>
      <c r="J55">
        <v>8.8000000000000007</v>
      </c>
      <c r="K55">
        <v>11.8</v>
      </c>
      <c r="L55">
        <v>16</v>
      </c>
      <c r="M55">
        <v>17.600000000000001</v>
      </c>
      <c r="N55" s="11">
        <f t="shared" si="4"/>
        <v>13.633333333333335</v>
      </c>
      <c r="O55" s="11">
        <f t="shared" si="5"/>
        <v>6.3666669999999996</v>
      </c>
      <c r="P55" s="11">
        <f t="shared" si="6"/>
        <v>12.200000000000001</v>
      </c>
      <c r="Q55" s="11">
        <f t="shared" si="7"/>
        <v>18.8</v>
      </c>
    </row>
    <row r="56" spans="1:17" x14ac:dyDescent="0.25">
      <c r="A56">
        <v>1955</v>
      </c>
      <c r="B56">
        <v>20.7</v>
      </c>
      <c r="C56">
        <v>18.100000000000001</v>
      </c>
      <c r="D56">
        <v>17.100000000000001</v>
      </c>
      <c r="E56">
        <v>12.6</v>
      </c>
      <c r="F56">
        <v>8.1</v>
      </c>
      <c r="G56">
        <v>5</v>
      </c>
      <c r="H56">
        <v>4.7</v>
      </c>
      <c r="I56">
        <v>6.1</v>
      </c>
      <c r="J56">
        <v>9.4000009999999996</v>
      </c>
      <c r="K56">
        <v>13.3</v>
      </c>
      <c r="L56">
        <v>17.399999999999999</v>
      </c>
      <c r="M56">
        <v>16.7</v>
      </c>
      <c r="N56" s="11">
        <f t="shared" si="4"/>
        <v>12.600000000000001</v>
      </c>
      <c r="O56" s="11">
        <f t="shared" si="5"/>
        <v>5.2666666666666666</v>
      </c>
      <c r="P56" s="11">
        <f t="shared" si="6"/>
        <v>13.366667</v>
      </c>
      <c r="Q56" s="11">
        <f t="shared" si="7"/>
        <v>17.400000000000002</v>
      </c>
    </row>
    <row r="57" spans="1:17" x14ac:dyDescent="0.25">
      <c r="A57">
        <v>1956</v>
      </c>
      <c r="B57">
        <v>16.3</v>
      </c>
      <c r="C57">
        <v>19.2</v>
      </c>
      <c r="D57">
        <v>15.2</v>
      </c>
      <c r="E57">
        <v>10.9</v>
      </c>
      <c r="F57">
        <v>7</v>
      </c>
      <c r="G57">
        <v>5.2</v>
      </c>
      <c r="H57">
        <v>7.1</v>
      </c>
      <c r="I57">
        <v>7.300001</v>
      </c>
      <c r="J57">
        <v>8.8000000000000007</v>
      </c>
      <c r="K57">
        <v>13</v>
      </c>
      <c r="L57">
        <v>17.8</v>
      </c>
      <c r="M57">
        <v>20.3</v>
      </c>
      <c r="N57" s="11">
        <f t="shared" si="4"/>
        <v>11.033333333333333</v>
      </c>
      <c r="O57" s="11">
        <f t="shared" si="5"/>
        <v>6.5333336666666666</v>
      </c>
      <c r="P57" s="11">
        <f t="shared" si="6"/>
        <v>13.200000000000001</v>
      </c>
      <c r="Q57" s="11">
        <f t="shared" si="7"/>
        <v>19.933333333333334</v>
      </c>
    </row>
    <row r="58" spans="1:17" x14ac:dyDescent="0.25">
      <c r="A58">
        <v>1957</v>
      </c>
      <c r="B58">
        <v>19</v>
      </c>
      <c r="C58">
        <v>20.5</v>
      </c>
      <c r="D58">
        <v>17.5</v>
      </c>
      <c r="E58">
        <v>12.8</v>
      </c>
      <c r="F58">
        <v>9.4000009999999996</v>
      </c>
      <c r="G58">
        <v>5.5</v>
      </c>
      <c r="H58">
        <v>4.7</v>
      </c>
      <c r="I58">
        <v>6</v>
      </c>
      <c r="J58">
        <v>9.199999</v>
      </c>
      <c r="K58">
        <v>11.1</v>
      </c>
      <c r="L58">
        <v>16.7</v>
      </c>
      <c r="M58">
        <v>16.600000000000001</v>
      </c>
      <c r="N58" s="11">
        <f t="shared" si="4"/>
        <v>13.233333666666667</v>
      </c>
      <c r="O58" s="11">
        <f t="shared" si="5"/>
        <v>5.3999999999999995</v>
      </c>
      <c r="P58" s="11">
        <f t="shared" si="6"/>
        <v>12.333333000000001</v>
      </c>
      <c r="Q58" s="11">
        <f t="shared" si="7"/>
        <v>17.900000000000002</v>
      </c>
    </row>
    <row r="59" spans="1:17" x14ac:dyDescent="0.25">
      <c r="A59">
        <v>1958</v>
      </c>
      <c r="B59">
        <v>18.899999999999999</v>
      </c>
      <c r="C59">
        <v>18.2</v>
      </c>
      <c r="D59">
        <v>18.899999999999999</v>
      </c>
      <c r="E59">
        <v>12.1</v>
      </c>
      <c r="F59">
        <v>8</v>
      </c>
      <c r="G59">
        <v>5.4</v>
      </c>
      <c r="H59">
        <v>7.8</v>
      </c>
      <c r="I59">
        <v>5.6</v>
      </c>
      <c r="J59">
        <v>8.8000000000000007</v>
      </c>
      <c r="K59">
        <v>15.1</v>
      </c>
      <c r="L59">
        <v>14.5</v>
      </c>
      <c r="M59">
        <v>17.5</v>
      </c>
      <c r="N59" s="11">
        <f t="shared" si="4"/>
        <v>13</v>
      </c>
      <c r="O59" s="11">
        <f t="shared" si="5"/>
        <v>6.2666666666666657</v>
      </c>
      <c r="P59" s="11">
        <f t="shared" si="6"/>
        <v>12.799999999999999</v>
      </c>
      <c r="Q59" s="11">
        <f t="shared" si="7"/>
        <v>18.7</v>
      </c>
    </row>
    <row r="60" spans="1:17" x14ac:dyDescent="0.25">
      <c r="A60">
        <v>1959</v>
      </c>
      <c r="B60">
        <v>19.100000000000001</v>
      </c>
      <c r="C60">
        <v>19.5</v>
      </c>
      <c r="D60">
        <v>16.2</v>
      </c>
      <c r="E60">
        <v>10.7</v>
      </c>
      <c r="F60">
        <v>8.5</v>
      </c>
      <c r="G60">
        <v>6.1</v>
      </c>
      <c r="H60">
        <v>5.2</v>
      </c>
      <c r="I60">
        <v>6</v>
      </c>
      <c r="J60">
        <v>8.1999999999999993</v>
      </c>
      <c r="K60">
        <v>11.3</v>
      </c>
      <c r="L60">
        <v>15.7</v>
      </c>
      <c r="M60">
        <v>19.2</v>
      </c>
      <c r="N60" s="11">
        <f t="shared" si="4"/>
        <v>11.799999999999999</v>
      </c>
      <c r="O60" s="11">
        <f t="shared" si="5"/>
        <v>5.7666666666666666</v>
      </c>
      <c r="P60" s="11">
        <f t="shared" si="6"/>
        <v>11.733333333333334</v>
      </c>
      <c r="Q60" s="11">
        <f t="shared" si="7"/>
        <v>20.233333333333334</v>
      </c>
    </row>
    <row r="61" spans="1:17" x14ac:dyDescent="0.25">
      <c r="A61">
        <v>1960</v>
      </c>
      <c r="B61">
        <v>21</v>
      </c>
      <c r="C61">
        <v>20.5</v>
      </c>
      <c r="D61">
        <v>18.399999999999999</v>
      </c>
      <c r="E61">
        <v>12.6</v>
      </c>
      <c r="F61">
        <v>9.5</v>
      </c>
      <c r="G61">
        <v>5</v>
      </c>
      <c r="H61">
        <v>3.9</v>
      </c>
      <c r="I61">
        <v>7</v>
      </c>
      <c r="J61">
        <v>9.3000000000000007</v>
      </c>
      <c r="K61">
        <v>11.2</v>
      </c>
      <c r="L61">
        <v>15.2</v>
      </c>
      <c r="M61">
        <v>17.5</v>
      </c>
      <c r="N61" s="11">
        <f t="shared" si="4"/>
        <v>13.5</v>
      </c>
      <c r="O61" s="11">
        <f t="shared" si="5"/>
        <v>5.3</v>
      </c>
      <c r="P61" s="11">
        <f t="shared" si="6"/>
        <v>11.9</v>
      </c>
      <c r="Q61" s="11">
        <f t="shared" si="7"/>
        <v>17.5</v>
      </c>
    </row>
    <row r="62" spans="1:17" x14ac:dyDescent="0.25">
      <c r="A62">
        <v>1961</v>
      </c>
      <c r="B62">
        <v>16.899999999999999</v>
      </c>
      <c r="C62">
        <v>18.100000000000001</v>
      </c>
      <c r="D62">
        <v>16</v>
      </c>
      <c r="E62">
        <v>11.7</v>
      </c>
      <c r="F62">
        <v>9.1</v>
      </c>
      <c r="G62">
        <v>4.5</v>
      </c>
      <c r="H62">
        <v>4.5999999999999996</v>
      </c>
      <c r="I62">
        <v>7.6</v>
      </c>
      <c r="J62">
        <v>7.1</v>
      </c>
      <c r="K62">
        <v>12.3</v>
      </c>
      <c r="L62">
        <v>14.6</v>
      </c>
      <c r="M62">
        <v>18</v>
      </c>
      <c r="N62" s="11">
        <f t="shared" si="4"/>
        <v>12.266666666666666</v>
      </c>
      <c r="O62" s="11">
        <f t="shared" si="5"/>
        <v>5.5666666666666664</v>
      </c>
      <c r="P62" s="11">
        <f t="shared" si="6"/>
        <v>11.333333333333334</v>
      </c>
      <c r="Q62" s="11">
        <f t="shared" si="7"/>
        <v>19.533333333333335</v>
      </c>
    </row>
    <row r="63" spans="1:17" x14ac:dyDescent="0.25">
      <c r="A63">
        <v>1962</v>
      </c>
      <c r="B63">
        <v>19.100000000000001</v>
      </c>
      <c r="C63">
        <v>21.5</v>
      </c>
      <c r="D63">
        <v>18.100000000000001</v>
      </c>
      <c r="E63">
        <v>11.9</v>
      </c>
      <c r="F63">
        <v>9.199999</v>
      </c>
      <c r="G63">
        <v>6.5</v>
      </c>
      <c r="H63">
        <v>5.4</v>
      </c>
      <c r="I63">
        <v>7.5</v>
      </c>
      <c r="J63">
        <v>9.3000000000000007</v>
      </c>
      <c r="K63">
        <v>14.5</v>
      </c>
      <c r="L63">
        <v>16.399999999999999</v>
      </c>
      <c r="M63">
        <v>18.7</v>
      </c>
      <c r="N63" s="11">
        <f t="shared" si="4"/>
        <v>13.066666333333332</v>
      </c>
      <c r="O63" s="11">
        <f t="shared" si="5"/>
        <v>6.4666666666666659</v>
      </c>
      <c r="P63" s="11">
        <f t="shared" si="6"/>
        <v>13.4</v>
      </c>
      <c r="Q63" s="11">
        <f t="shared" si="7"/>
        <v>19.566666666666666</v>
      </c>
    </row>
    <row r="64" spans="1:17" x14ac:dyDescent="0.25">
      <c r="A64">
        <v>1963</v>
      </c>
      <c r="B64">
        <v>18.399999999999999</v>
      </c>
      <c r="C64">
        <v>21.6</v>
      </c>
      <c r="D64">
        <v>14.9</v>
      </c>
      <c r="E64">
        <v>12</v>
      </c>
      <c r="F64">
        <v>8.4000009999999996</v>
      </c>
      <c r="G64">
        <v>5.4</v>
      </c>
      <c r="H64">
        <v>5.8</v>
      </c>
      <c r="I64">
        <v>6.3</v>
      </c>
      <c r="J64">
        <v>6.7</v>
      </c>
      <c r="K64">
        <v>11.9</v>
      </c>
      <c r="L64">
        <v>11.6</v>
      </c>
      <c r="M64">
        <v>17.100000000000001</v>
      </c>
      <c r="N64" s="11">
        <f t="shared" si="4"/>
        <v>11.766666999999998</v>
      </c>
      <c r="O64" s="11">
        <f t="shared" si="5"/>
        <v>5.833333333333333</v>
      </c>
      <c r="P64" s="11">
        <f t="shared" si="6"/>
        <v>10.066666666666668</v>
      </c>
      <c r="Q64" s="11">
        <f t="shared" si="7"/>
        <v>17.666666666666668</v>
      </c>
    </row>
    <row r="65" spans="1:17" x14ac:dyDescent="0.25">
      <c r="A65">
        <v>1964</v>
      </c>
      <c r="B65">
        <v>19.5</v>
      </c>
      <c r="C65">
        <v>16.399999999999999</v>
      </c>
      <c r="D65">
        <v>15.1</v>
      </c>
      <c r="E65">
        <v>12</v>
      </c>
      <c r="F65">
        <v>8.5</v>
      </c>
      <c r="G65">
        <v>3.9</v>
      </c>
      <c r="H65">
        <v>5</v>
      </c>
      <c r="I65">
        <v>6.5</v>
      </c>
      <c r="J65">
        <v>7.9</v>
      </c>
      <c r="K65">
        <v>14</v>
      </c>
      <c r="L65">
        <v>15.3</v>
      </c>
      <c r="M65">
        <v>15.6</v>
      </c>
      <c r="N65" s="11">
        <f t="shared" si="4"/>
        <v>11.866666666666667</v>
      </c>
      <c r="O65" s="11">
        <f t="shared" si="5"/>
        <v>5.1333333333333337</v>
      </c>
      <c r="P65" s="11">
        <f t="shared" si="6"/>
        <v>12.4</v>
      </c>
      <c r="Q65" s="11">
        <f t="shared" si="7"/>
        <v>16.533333333333335</v>
      </c>
    </row>
    <row r="66" spans="1:17" x14ac:dyDescent="0.25">
      <c r="A66">
        <v>1965</v>
      </c>
      <c r="B66">
        <v>18.399999999999999</v>
      </c>
      <c r="C66">
        <v>15.6</v>
      </c>
      <c r="D66">
        <v>18.100000000000001</v>
      </c>
      <c r="E66">
        <v>11.3</v>
      </c>
      <c r="F66">
        <v>6.7</v>
      </c>
      <c r="G66">
        <v>8</v>
      </c>
      <c r="H66">
        <v>3.7</v>
      </c>
      <c r="I66">
        <v>6.2</v>
      </c>
      <c r="J66">
        <v>8.1</v>
      </c>
      <c r="K66">
        <v>11.3</v>
      </c>
      <c r="L66">
        <v>14.9</v>
      </c>
      <c r="M66">
        <v>14.8</v>
      </c>
      <c r="N66" s="11">
        <f t="shared" si="4"/>
        <v>12.033333333333333</v>
      </c>
      <c r="O66" s="11">
        <f t="shared" si="5"/>
        <v>5.9666666666666659</v>
      </c>
      <c r="P66" s="11">
        <f t="shared" si="6"/>
        <v>11.433333333333332</v>
      </c>
      <c r="Q66" s="11">
        <f t="shared" si="7"/>
        <v>16.733333333333334</v>
      </c>
    </row>
    <row r="67" spans="1:17" x14ac:dyDescent="0.25">
      <c r="A67">
        <v>1966</v>
      </c>
      <c r="B67">
        <v>18.7</v>
      </c>
      <c r="C67">
        <v>16.7</v>
      </c>
      <c r="D67">
        <v>15.9</v>
      </c>
      <c r="E67">
        <v>12.6</v>
      </c>
      <c r="F67">
        <v>9.6999999999999993</v>
      </c>
      <c r="G67">
        <v>5.5</v>
      </c>
      <c r="H67">
        <v>4.4000000000000004</v>
      </c>
      <c r="I67">
        <v>6.4000009999999996</v>
      </c>
      <c r="J67">
        <v>8.6</v>
      </c>
      <c r="K67">
        <v>10.5</v>
      </c>
      <c r="L67">
        <v>15.8</v>
      </c>
      <c r="M67">
        <v>15</v>
      </c>
      <c r="N67" s="11">
        <f t="shared" si="4"/>
        <v>12.733333333333334</v>
      </c>
      <c r="O67" s="11">
        <f t="shared" si="5"/>
        <v>5.433333666666667</v>
      </c>
      <c r="P67" s="11">
        <f t="shared" si="6"/>
        <v>11.633333333333335</v>
      </c>
      <c r="Q67" s="11">
        <f t="shared" si="7"/>
        <v>16.833333333333332</v>
      </c>
    </row>
    <row r="68" spans="1:17" x14ac:dyDescent="0.25">
      <c r="A68">
        <v>1967</v>
      </c>
      <c r="B68">
        <v>17.600000000000001</v>
      </c>
      <c r="C68">
        <v>17.899999999999999</v>
      </c>
      <c r="D68">
        <v>16.8</v>
      </c>
      <c r="E68">
        <v>13.8</v>
      </c>
      <c r="F68">
        <v>9.199999</v>
      </c>
      <c r="G68">
        <v>4.2000010000000003</v>
      </c>
      <c r="H68">
        <v>4.9000000000000004</v>
      </c>
      <c r="I68">
        <v>5.0999999999999996</v>
      </c>
      <c r="J68">
        <v>8.8000000000000007</v>
      </c>
      <c r="K68">
        <v>10.7</v>
      </c>
      <c r="L68">
        <v>15.4</v>
      </c>
      <c r="M68">
        <v>18.5</v>
      </c>
      <c r="N68" s="11">
        <f t="shared" si="4"/>
        <v>13.266666333333333</v>
      </c>
      <c r="O68" s="11">
        <f t="shared" si="5"/>
        <v>4.7333336666666668</v>
      </c>
      <c r="P68" s="11">
        <f t="shared" si="6"/>
        <v>11.633333333333333</v>
      </c>
      <c r="Q68" s="11">
        <f t="shared" si="7"/>
        <v>18.3</v>
      </c>
    </row>
    <row r="69" spans="1:17" x14ac:dyDescent="0.25">
      <c r="A69">
        <v>1968</v>
      </c>
      <c r="B69">
        <v>19.600000000000001</v>
      </c>
      <c r="C69">
        <v>16.8</v>
      </c>
      <c r="D69">
        <v>15.9</v>
      </c>
      <c r="E69">
        <v>13.6</v>
      </c>
      <c r="F69">
        <v>11.1</v>
      </c>
      <c r="G69">
        <v>6.2</v>
      </c>
      <c r="H69">
        <v>7.2000010000000003</v>
      </c>
      <c r="I69">
        <v>8.3000000000000007</v>
      </c>
      <c r="J69">
        <v>9.4999990000000007</v>
      </c>
      <c r="K69">
        <v>10.3</v>
      </c>
      <c r="L69">
        <v>15.8</v>
      </c>
      <c r="M69">
        <v>14.7</v>
      </c>
      <c r="N69" s="11">
        <f t="shared" si="4"/>
        <v>13.533333333333333</v>
      </c>
      <c r="O69" s="11">
        <f t="shared" si="5"/>
        <v>7.2333336666666668</v>
      </c>
      <c r="P69" s="11">
        <f t="shared" si="6"/>
        <v>11.866666333333333</v>
      </c>
      <c r="Q69" s="11">
        <f t="shared" si="7"/>
        <v>17.3</v>
      </c>
    </row>
    <row r="70" spans="1:17" x14ac:dyDescent="0.25">
      <c r="A70">
        <v>1969</v>
      </c>
      <c r="B70">
        <v>19.8</v>
      </c>
      <c r="C70">
        <v>17.399999999999999</v>
      </c>
      <c r="D70">
        <v>17.100000000000001</v>
      </c>
      <c r="E70">
        <v>13</v>
      </c>
      <c r="F70">
        <v>8.8000000000000007</v>
      </c>
      <c r="G70">
        <v>5.5</v>
      </c>
      <c r="H70">
        <v>5.8</v>
      </c>
      <c r="I70">
        <v>5.9</v>
      </c>
      <c r="J70">
        <v>7.8</v>
      </c>
      <c r="K70">
        <v>9.7000010000000003</v>
      </c>
      <c r="L70">
        <v>14.9</v>
      </c>
      <c r="M70">
        <v>19.2</v>
      </c>
      <c r="N70" s="11">
        <f t="shared" si="4"/>
        <v>12.966666666666669</v>
      </c>
      <c r="O70" s="11">
        <f t="shared" si="5"/>
        <v>5.7333333333333343</v>
      </c>
      <c r="P70" s="11">
        <f t="shared" si="6"/>
        <v>10.800000333333335</v>
      </c>
      <c r="Q70" s="11">
        <f t="shared" si="7"/>
        <v>18.7</v>
      </c>
    </row>
    <row r="71" spans="1:17" x14ac:dyDescent="0.25">
      <c r="A71">
        <v>1970</v>
      </c>
      <c r="B71">
        <v>17.600000000000001</v>
      </c>
      <c r="C71">
        <v>19.3</v>
      </c>
      <c r="D71">
        <v>17.100000000000001</v>
      </c>
      <c r="E71">
        <v>12.8</v>
      </c>
      <c r="F71">
        <v>8.4000009999999996</v>
      </c>
      <c r="G71">
        <v>5.0999999999999996</v>
      </c>
      <c r="H71">
        <v>6.1</v>
      </c>
      <c r="I71">
        <v>5.7</v>
      </c>
      <c r="J71">
        <v>9.6999999999999993</v>
      </c>
      <c r="K71">
        <v>12.5</v>
      </c>
      <c r="L71">
        <v>14.8</v>
      </c>
      <c r="M71">
        <v>14.2</v>
      </c>
      <c r="N71" s="11">
        <f t="shared" si="4"/>
        <v>12.766667</v>
      </c>
      <c r="O71" s="11">
        <f t="shared" si="5"/>
        <v>5.6333333333333329</v>
      </c>
      <c r="P71" s="11">
        <f t="shared" si="6"/>
        <v>12.333333333333334</v>
      </c>
      <c r="Q71" s="11">
        <f t="shared" si="7"/>
        <v>15.200000000000001</v>
      </c>
    </row>
    <row r="72" spans="1:17" x14ac:dyDescent="0.25">
      <c r="A72">
        <v>1971</v>
      </c>
      <c r="B72">
        <v>14.4</v>
      </c>
      <c r="C72">
        <v>17</v>
      </c>
      <c r="D72">
        <v>15.2</v>
      </c>
      <c r="E72">
        <v>10.8</v>
      </c>
      <c r="F72">
        <v>8.6</v>
      </c>
      <c r="G72">
        <v>3.3</v>
      </c>
      <c r="H72">
        <v>5.5</v>
      </c>
      <c r="I72">
        <v>6.4000009999999996</v>
      </c>
      <c r="J72">
        <v>9.1</v>
      </c>
      <c r="K72">
        <v>13.7</v>
      </c>
      <c r="L72">
        <v>14.3</v>
      </c>
      <c r="M72">
        <v>13.8</v>
      </c>
      <c r="N72" s="11">
        <f t="shared" si="4"/>
        <v>11.533333333333333</v>
      </c>
      <c r="O72" s="11">
        <f t="shared" si="5"/>
        <v>5.0666669999999998</v>
      </c>
      <c r="P72" s="11">
        <f t="shared" si="6"/>
        <v>12.366666666666665</v>
      </c>
      <c r="Q72" s="11">
        <f t="shared" si="7"/>
        <v>17</v>
      </c>
    </row>
    <row r="73" spans="1:17" x14ac:dyDescent="0.25">
      <c r="A73">
        <v>1972</v>
      </c>
      <c r="B73">
        <v>18.8</v>
      </c>
      <c r="C73">
        <v>18.399999999999999</v>
      </c>
      <c r="D73">
        <v>13.9</v>
      </c>
      <c r="E73">
        <v>13.6</v>
      </c>
      <c r="F73">
        <v>7</v>
      </c>
      <c r="G73">
        <v>4.2000010000000003</v>
      </c>
      <c r="H73">
        <v>4.2</v>
      </c>
      <c r="I73">
        <v>5.5</v>
      </c>
      <c r="J73">
        <v>8.3000000000000007</v>
      </c>
      <c r="K73">
        <v>9.4000009999999996</v>
      </c>
      <c r="L73">
        <v>15.8</v>
      </c>
      <c r="M73">
        <v>18.600000000000001</v>
      </c>
      <c r="N73" s="11">
        <f t="shared" si="4"/>
        <v>11.5</v>
      </c>
      <c r="O73" s="11">
        <f t="shared" si="5"/>
        <v>4.6333336666666662</v>
      </c>
      <c r="P73" s="11">
        <f t="shared" si="6"/>
        <v>11.166666999999999</v>
      </c>
      <c r="Q73" s="11">
        <f t="shared" si="7"/>
        <v>18.133333333333336</v>
      </c>
    </row>
    <row r="74" spans="1:17" x14ac:dyDescent="0.25">
      <c r="A74">
        <v>1973</v>
      </c>
      <c r="B74">
        <v>16.8</v>
      </c>
      <c r="C74">
        <v>19</v>
      </c>
      <c r="D74">
        <v>17.100000000000001</v>
      </c>
      <c r="E74">
        <v>11.9</v>
      </c>
      <c r="F74">
        <v>8.5</v>
      </c>
      <c r="G74">
        <v>5.9</v>
      </c>
      <c r="H74">
        <v>2.9</v>
      </c>
      <c r="I74">
        <v>6.4000009999999996</v>
      </c>
      <c r="J74">
        <v>9</v>
      </c>
      <c r="K74">
        <v>11.3</v>
      </c>
      <c r="L74">
        <v>14.7</v>
      </c>
      <c r="M74">
        <v>17.5</v>
      </c>
      <c r="N74" s="11">
        <f t="shared" si="4"/>
        <v>12.5</v>
      </c>
      <c r="O74" s="11">
        <f t="shared" si="5"/>
        <v>5.0666669999999998</v>
      </c>
      <c r="P74" s="11">
        <f t="shared" si="6"/>
        <v>11.666666666666666</v>
      </c>
      <c r="Q74" s="11">
        <f t="shared" si="7"/>
        <v>16.966666666666669</v>
      </c>
    </row>
    <row r="75" spans="1:17" x14ac:dyDescent="0.25">
      <c r="A75">
        <v>1974</v>
      </c>
      <c r="B75">
        <v>15.7</v>
      </c>
      <c r="C75">
        <v>17.7</v>
      </c>
      <c r="D75">
        <v>15.2</v>
      </c>
      <c r="E75">
        <v>13.1</v>
      </c>
      <c r="F75">
        <v>7.9</v>
      </c>
      <c r="G75">
        <v>4.4000000000000004</v>
      </c>
      <c r="H75">
        <v>5.0999999999999996</v>
      </c>
      <c r="I75">
        <v>6.2</v>
      </c>
      <c r="J75">
        <v>8.8000000000000007</v>
      </c>
      <c r="K75">
        <v>13.1</v>
      </c>
      <c r="L75">
        <v>14.4</v>
      </c>
      <c r="M75">
        <v>17.100000000000001</v>
      </c>
      <c r="N75" s="11">
        <f t="shared" si="4"/>
        <v>12.066666666666665</v>
      </c>
      <c r="O75" s="11">
        <f t="shared" si="5"/>
        <v>5.2333333333333334</v>
      </c>
      <c r="P75" s="11">
        <f t="shared" si="6"/>
        <v>12.1</v>
      </c>
      <c r="Q75" s="11">
        <f t="shared" si="7"/>
        <v>18.533333333333335</v>
      </c>
    </row>
    <row r="76" spans="1:17" x14ac:dyDescent="0.25">
      <c r="A76">
        <v>1975</v>
      </c>
      <c r="B76">
        <v>21</v>
      </c>
      <c r="C76">
        <v>17.5</v>
      </c>
      <c r="D76">
        <v>16.399999999999999</v>
      </c>
      <c r="E76">
        <v>12.1</v>
      </c>
      <c r="F76">
        <v>9</v>
      </c>
      <c r="G76">
        <v>7</v>
      </c>
      <c r="H76">
        <v>4.5</v>
      </c>
      <c r="I76">
        <v>5.5</v>
      </c>
      <c r="J76">
        <v>9.199999</v>
      </c>
      <c r="K76">
        <v>11.4</v>
      </c>
      <c r="L76">
        <v>12.8</v>
      </c>
      <c r="M76">
        <v>15.5</v>
      </c>
      <c r="N76" s="11">
        <f t="shared" si="4"/>
        <v>12.5</v>
      </c>
      <c r="O76" s="11">
        <f t="shared" si="5"/>
        <v>5.666666666666667</v>
      </c>
      <c r="P76" s="11">
        <f t="shared" si="6"/>
        <v>11.133333</v>
      </c>
      <c r="Q76" s="11">
        <f t="shared" si="7"/>
        <v>16.866666666666667</v>
      </c>
    </row>
    <row r="77" spans="1:17" x14ac:dyDescent="0.25">
      <c r="A77">
        <v>1976</v>
      </c>
      <c r="B77">
        <v>16.7</v>
      </c>
      <c r="C77">
        <v>18.399999999999999</v>
      </c>
      <c r="D77">
        <v>14.7</v>
      </c>
      <c r="E77">
        <v>12.3</v>
      </c>
      <c r="F77">
        <v>9.7999989999999997</v>
      </c>
      <c r="G77">
        <v>3.3</v>
      </c>
      <c r="H77">
        <v>4.0999999999999996</v>
      </c>
      <c r="I77">
        <v>5.9</v>
      </c>
      <c r="J77">
        <v>9.9999990000000007</v>
      </c>
      <c r="K77">
        <v>11.5</v>
      </c>
      <c r="L77">
        <v>15</v>
      </c>
      <c r="M77">
        <v>15.2</v>
      </c>
      <c r="N77" s="11">
        <f t="shared" si="4"/>
        <v>12.266666333333333</v>
      </c>
      <c r="O77" s="11">
        <f t="shared" si="5"/>
        <v>4.4333333333333336</v>
      </c>
      <c r="P77" s="11">
        <f t="shared" si="6"/>
        <v>12.166666333333334</v>
      </c>
      <c r="Q77" s="11">
        <f t="shared" si="7"/>
        <v>17.166666666666668</v>
      </c>
    </row>
    <row r="78" spans="1:17" x14ac:dyDescent="0.25">
      <c r="A78">
        <v>1977</v>
      </c>
      <c r="B78">
        <v>18</v>
      </c>
      <c r="C78">
        <v>18.3</v>
      </c>
      <c r="D78">
        <v>16.7</v>
      </c>
      <c r="E78">
        <v>13.2</v>
      </c>
      <c r="F78">
        <v>9.3000000000000007</v>
      </c>
      <c r="G78">
        <v>6</v>
      </c>
      <c r="H78">
        <v>4.5999999999999996</v>
      </c>
      <c r="I78">
        <v>6.3</v>
      </c>
      <c r="J78">
        <v>9.9999990000000007</v>
      </c>
      <c r="K78">
        <v>12.5</v>
      </c>
      <c r="L78">
        <v>13</v>
      </c>
      <c r="M78">
        <v>18.600000000000001</v>
      </c>
      <c r="N78" s="11">
        <f t="shared" si="4"/>
        <v>13.066666666666668</v>
      </c>
      <c r="O78" s="11">
        <f t="shared" si="5"/>
        <v>5.6333333333333329</v>
      </c>
      <c r="P78" s="11">
        <f t="shared" si="6"/>
        <v>11.833333000000001</v>
      </c>
      <c r="Q78" s="11">
        <f t="shared" si="7"/>
        <v>18.833333333333332</v>
      </c>
    </row>
    <row r="79" spans="1:17" x14ac:dyDescent="0.25">
      <c r="A79">
        <v>1978</v>
      </c>
      <c r="B79">
        <v>18</v>
      </c>
      <c r="C79">
        <v>19.899999999999999</v>
      </c>
      <c r="D79">
        <v>16.399999999999999</v>
      </c>
      <c r="E79">
        <v>14.5</v>
      </c>
      <c r="F79">
        <v>8.6999999999999993</v>
      </c>
      <c r="G79">
        <v>5.3</v>
      </c>
      <c r="H79">
        <v>5.8</v>
      </c>
      <c r="I79">
        <v>6.4000009999999996</v>
      </c>
      <c r="J79">
        <v>9.199999</v>
      </c>
      <c r="K79">
        <v>10.199999999999999</v>
      </c>
      <c r="L79">
        <v>15.1</v>
      </c>
      <c r="M79">
        <v>18.7</v>
      </c>
      <c r="N79" s="11">
        <f t="shared" si="4"/>
        <v>13.199999999999998</v>
      </c>
      <c r="O79" s="11">
        <f t="shared" si="5"/>
        <v>5.8333336666666655</v>
      </c>
      <c r="P79" s="11">
        <f t="shared" si="6"/>
        <v>11.499999666666668</v>
      </c>
      <c r="Q79" s="11">
        <f t="shared" si="7"/>
        <v>20.099999999999998</v>
      </c>
    </row>
    <row r="80" spans="1:17" x14ac:dyDescent="0.25">
      <c r="A80">
        <v>1979</v>
      </c>
      <c r="B80">
        <v>21.8</v>
      </c>
      <c r="C80">
        <v>19.8</v>
      </c>
      <c r="D80">
        <v>17.8</v>
      </c>
      <c r="E80">
        <v>14.5</v>
      </c>
      <c r="F80">
        <v>9.5</v>
      </c>
      <c r="G80">
        <v>7.1</v>
      </c>
      <c r="H80">
        <v>6.1</v>
      </c>
      <c r="I80">
        <v>6.9000009999999996</v>
      </c>
      <c r="J80">
        <v>7.7</v>
      </c>
      <c r="K80">
        <v>11</v>
      </c>
      <c r="L80">
        <v>14.1</v>
      </c>
      <c r="M80">
        <v>17.899999999999999</v>
      </c>
      <c r="N80" s="11">
        <f t="shared" si="4"/>
        <v>13.933333333333332</v>
      </c>
      <c r="O80" s="11">
        <f t="shared" si="5"/>
        <v>6.7000003333333327</v>
      </c>
      <c r="P80" s="11">
        <f t="shared" si="6"/>
        <v>10.933333333333332</v>
      </c>
      <c r="Q80" s="11">
        <f t="shared" si="7"/>
        <v>18.633333333333333</v>
      </c>
    </row>
    <row r="81" spans="1:17" x14ac:dyDescent="0.25">
      <c r="A81">
        <v>1980</v>
      </c>
      <c r="B81">
        <v>20.100000000000001</v>
      </c>
      <c r="C81">
        <v>17.899999999999999</v>
      </c>
      <c r="D81">
        <v>17.3</v>
      </c>
      <c r="E81">
        <v>8.6</v>
      </c>
      <c r="F81">
        <v>7.4</v>
      </c>
      <c r="G81">
        <v>5.3</v>
      </c>
      <c r="H81">
        <v>4.9000000000000004</v>
      </c>
      <c r="I81">
        <v>6.9000009999999996</v>
      </c>
      <c r="J81">
        <v>10.3</v>
      </c>
      <c r="K81">
        <v>13.1</v>
      </c>
      <c r="L81">
        <v>14</v>
      </c>
      <c r="M81">
        <v>16.8</v>
      </c>
      <c r="N81" s="11">
        <f t="shared" si="4"/>
        <v>11.1</v>
      </c>
      <c r="O81" s="11">
        <f t="shared" si="5"/>
        <v>5.7000003333333327</v>
      </c>
      <c r="P81" s="11">
        <f t="shared" si="6"/>
        <v>12.466666666666667</v>
      </c>
      <c r="Q81" s="11">
        <f t="shared" si="7"/>
        <v>17.8</v>
      </c>
    </row>
    <row r="82" spans="1:17" x14ac:dyDescent="0.25">
      <c r="A82">
        <v>1981</v>
      </c>
      <c r="B82">
        <v>17.8</v>
      </c>
      <c r="C82">
        <v>18.8</v>
      </c>
      <c r="D82">
        <v>16.899999999999999</v>
      </c>
      <c r="E82">
        <v>12.2</v>
      </c>
      <c r="F82">
        <v>7.7</v>
      </c>
      <c r="G82">
        <v>6.1</v>
      </c>
      <c r="H82">
        <v>5.8</v>
      </c>
      <c r="I82">
        <v>7.1</v>
      </c>
      <c r="J82">
        <v>7.9</v>
      </c>
      <c r="K82">
        <v>12.5</v>
      </c>
      <c r="L82">
        <v>14.8</v>
      </c>
      <c r="M82">
        <v>17.399999999999999</v>
      </c>
      <c r="N82" s="11">
        <f t="shared" si="4"/>
        <v>12.266666666666666</v>
      </c>
      <c r="O82" s="11">
        <f t="shared" si="5"/>
        <v>6.333333333333333</v>
      </c>
      <c r="P82" s="11">
        <f t="shared" si="6"/>
        <v>11.733333333333334</v>
      </c>
      <c r="Q82" s="11">
        <f t="shared" si="7"/>
        <v>18.266666666666666</v>
      </c>
    </row>
    <row r="83" spans="1:17" x14ac:dyDescent="0.25">
      <c r="A83">
        <v>1982</v>
      </c>
      <c r="B83">
        <v>20</v>
      </c>
      <c r="C83">
        <v>17.399999999999999</v>
      </c>
      <c r="D83">
        <v>16.3</v>
      </c>
      <c r="E83">
        <v>14</v>
      </c>
      <c r="F83">
        <v>9.199999</v>
      </c>
      <c r="G83">
        <v>2.5</v>
      </c>
      <c r="H83">
        <v>3.9</v>
      </c>
      <c r="I83">
        <v>6.4000009999999996</v>
      </c>
      <c r="J83">
        <v>8.8000000000000007</v>
      </c>
      <c r="K83">
        <v>9.6</v>
      </c>
      <c r="L83">
        <v>13.6</v>
      </c>
      <c r="M83">
        <v>18.5</v>
      </c>
      <c r="N83" s="11">
        <f t="shared" si="4"/>
        <v>13.166666333333334</v>
      </c>
      <c r="O83" s="11">
        <f t="shared" si="5"/>
        <v>4.266667</v>
      </c>
      <c r="P83" s="11">
        <f t="shared" si="6"/>
        <v>10.666666666666666</v>
      </c>
      <c r="Q83" s="11">
        <f t="shared" si="7"/>
        <v>19.033333333333335</v>
      </c>
    </row>
    <row r="84" spans="1:17" x14ac:dyDescent="0.25">
      <c r="A84">
        <v>1983</v>
      </c>
      <c r="B84">
        <v>20.5</v>
      </c>
      <c r="C84">
        <v>18.100000000000001</v>
      </c>
      <c r="D84">
        <v>16.2</v>
      </c>
      <c r="E84">
        <v>11.6</v>
      </c>
      <c r="F84">
        <v>7.4</v>
      </c>
      <c r="G84">
        <v>3.7</v>
      </c>
      <c r="H84">
        <v>4.0999999999999996</v>
      </c>
      <c r="I84">
        <v>7.300001</v>
      </c>
      <c r="J84">
        <v>7.8</v>
      </c>
      <c r="K84">
        <v>13.1</v>
      </c>
      <c r="L84">
        <v>16.399999999999999</v>
      </c>
      <c r="M84">
        <v>20.100000000000001</v>
      </c>
      <c r="N84" s="11">
        <f t="shared" si="4"/>
        <v>11.733333333333333</v>
      </c>
      <c r="O84" s="11">
        <f t="shared" si="5"/>
        <v>5.0333336666666666</v>
      </c>
      <c r="P84" s="11">
        <f t="shared" si="6"/>
        <v>12.433333333333332</v>
      </c>
      <c r="Q84" s="11">
        <f t="shared" si="7"/>
        <v>18.600000000000001</v>
      </c>
    </row>
    <row r="85" spans="1:17" x14ac:dyDescent="0.25">
      <c r="A85">
        <v>1984</v>
      </c>
      <c r="B85">
        <v>19.100000000000001</v>
      </c>
      <c r="C85">
        <v>16.600000000000001</v>
      </c>
      <c r="D85">
        <v>16.100000000000001</v>
      </c>
      <c r="E85">
        <v>11.6</v>
      </c>
      <c r="F85">
        <v>5.7</v>
      </c>
      <c r="G85">
        <v>2</v>
      </c>
      <c r="H85">
        <v>2.2999999999999998</v>
      </c>
      <c r="I85">
        <v>5.3</v>
      </c>
      <c r="J85">
        <v>9.6999999999999993</v>
      </c>
      <c r="K85">
        <v>9.6</v>
      </c>
      <c r="L85">
        <v>14.4</v>
      </c>
      <c r="M85">
        <v>16.600000000000001</v>
      </c>
      <c r="N85" s="11">
        <f t="shared" si="4"/>
        <v>11.133333333333335</v>
      </c>
      <c r="O85" s="11">
        <f t="shared" si="5"/>
        <v>3.1999999999999997</v>
      </c>
      <c r="P85" s="11">
        <f t="shared" si="6"/>
        <v>11.233333333333333</v>
      </c>
      <c r="Q85" s="11">
        <f t="shared" si="7"/>
        <v>17.900000000000002</v>
      </c>
    </row>
    <row r="86" spans="1:17" x14ac:dyDescent="0.25">
      <c r="A86">
        <v>1985</v>
      </c>
      <c r="B86">
        <v>18.899999999999999</v>
      </c>
      <c r="C86">
        <v>18.2</v>
      </c>
      <c r="D86">
        <v>15</v>
      </c>
      <c r="E86">
        <v>10.5</v>
      </c>
      <c r="F86">
        <v>8</v>
      </c>
      <c r="G86">
        <v>7.1</v>
      </c>
      <c r="H86">
        <v>6.1</v>
      </c>
      <c r="I86">
        <v>7.7000010000000003</v>
      </c>
      <c r="J86">
        <v>9.9000009999999996</v>
      </c>
      <c r="K86">
        <v>11.5</v>
      </c>
      <c r="L86">
        <v>17.7</v>
      </c>
      <c r="M86">
        <v>18</v>
      </c>
      <c r="N86" s="11">
        <f t="shared" si="4"/>
        <v>11.166666666666666</v>
      </c>
      <c r="O86" s="11">
        <f t="shared" si="5"/>
        <v>6.9666670000000002</v>
      </c>
      <c r="P86" s="11">
        <f t="shared" si="6"/>
        <v>13.033333666666666</v>
      </c>
      <c r="Q86" s="11">
        <f t="shared" si="7"/>
        <v>17.666666666666668</v>
      </c>
    </row>
    <row r="87" spans="1:17" x14ac:dyDescent="0.25">
      <c r="A87">
        <v>1986</v>
      </c>
      <c r="B87">
        <v>17.399999999999999</v>
      </c>
      <c r="C87">
        <v>17.600000000000001</v>
      </c>
      <c r="D87">
        <v>15</v>
      </c>
      <c r="E87">
        <v>11</v>
      </c>
      <c r="F87">
        <v>7.8</v>
      </c>
      <c r="G87">
        <v>5</v>
      </c>
      <c r="H87">
        <v>6.2</v>
      </c>
      <c r="I87">
        <v>6.5</v>
      </c>
      <c r="J87">
        <v>8.9000009999999996</v>
      </c>
      <c r="K87">
        <v>13.4</v>
      </c>
      <c r="L87">
        <v>13</v>
      </c>
      <c r="M87">
        <v>18</v>
      </c>
      <c r="N87" s="11">
        <f t="shared" si="4"/>
        <v>11.266666666666666</v>
      </c>
      <c r="O87" s="11">
        <f t="shared" si="5"/>
        <v>5.8999999999999995</v>
      </c>
      <c r="P87" s="11">
        <f t="shared" si="6"/>
        <v>11.766667</v>
      </c>
      <c r="Q87" s="11">
        <f t="shared" si="7"/>
        <v>19.566666666666666</v>
      </c>
    </row>
    <row r="88" spans="1:17" x14ac:dyDescent="0.25">
      <c r="A88">
        <v>1987</v>
      </c>
      <c r="B88">
        <v>20</v>
      </c>
      <c r="C88">
        <v>20.7</v>
      </c>
      <c r="D88">
        <v>17.100000000000001</v>
      </c>
      <c r="E88">
        <v>12.6</v>
      </c>
      <c r="F88">
        <v>7.5</v>
      </c>
      <c r="G88">
        <v>6.9000009999999996</v>
      </c>
      <c r="H88">
        <v>6.6</v>
      </c>
      <c r="I88">
        <v>5.7</v>
      </c>
      <c r="J88">
        <v>8.8000000000000007</v>
      </c>
      <c r="K88">
        <v>12.7</v>
      </c>
      <c r="L88">
        <v>16.399999999999999</v>
      </c>
      <c r="M88">
        <v>16.5</v>
      </c>
      <c r="N88" s="11">
        <f t="shared" si="4"/>
        <v>12.4</v>
      </c>
      <c r="O88" s="11">
        <f t="shared" si="5"/>
        <v>6.4000003333333337</v>
      </c>
      <c r="P88" s="11">
        <f t="shared" si="6"/>
        <v>12.633333333333333</v>
      </c>
      <c r="Q88" s="11">
        <f t="shared" si="7"/>
        <v>18.566666666666666</v>
      </c>
    </row>
    <row r="89" spans="1:17" x14ac:dyDescent="0.25">
      <c r="A89">
        <v>1988</v>
      </c>
      <c r="B89">
        <v>17.7</v>
      </c>
      <c r="C89">
        <v>21.5</v>
      </c>
      <c r="D89">
        <v>16.2</v>
      </c>
      <c r="E89">
        <v>12.1</v>
      </c>
      <c r="F89">
        <v>8.1999999999999993</v>
      </c>
      <c r="G89">
        <v>5.6</v>
      </c>
      <c r="H89">
        <v>4.4000000000000004</v>
      </c>
      <c r="I89">
        <v>5.0999999999999996</v>
      </c>
      <c r="J89">
        <v>9.1</v>
      </c>
      <c r="K89">
        <v>10.5</v>
      </c>
      <c r="L89">
        <v>15.4</v>
      </c>
      <c r="M89">
        <v>16.3</v>
      </c>
      <c r="N89" s="11">
        <f t="shared" si="4"/>
        <v>12.166666666666666</v>
      </c>
      <c r="O89" s="11">
        <f t="shared" si="5"/>
        <v>5.0333333333333332</v>
      </c>
      <c r="P89" s="11">
        <f t="shared" si="6"/>
        <v>11.666666666666666</v>
      </c>
      <c r="Q89" s="11">
        <f t="shared" si="7"/>
        <v>18.5</v>
      </c>
    </row>
    <row r="90" spans="1:17" x14ac:dyDescent="0.25">
      <c r="A90">
        <v>1989</v>
      </c>
      <c r="B90">
        <v>18.8</v>
      </c>
      <c r="C90">
        <v>20.399999999999999</v>
      </c>
      <c r="D90">
        <v>16.3</v>
      </c>
      <c r="E90">
        <v>12.1</v>
      </c>
      <c r="F90">
        <v>9.199999</v>
      </c>
      <c r="G90">
        <v>6.800001</v>
      </c>
      <c r="H90">
        <v>5.9</v>
      </c>
      <c r="I90">
        <v>6.3</v>
      </c>
      <c r="J90">
        <v>10.199999999999999</v>
      </c>
      <c r="K90">
        <v>14.5</v>
      </c>
      <c r="L90">
        <v>15.6</v>
      </c>
      <c r="M90">
        <v>15.8</v>
      </c>
      <c r="N90" s="11">
        <f t="shared" si="4"/>
        <v>12.533332999999999</v>
      </c>
      <c r="O90" s="11">
        <f t="shared" si="5"/>
        <v>6.3333336666666673</v>
      </c>
      <c r="P90" s="11">
        <f t="shared" si="6"/>
        <v>13.433333333333332</v>
      </c>
      <c r="Q90" s="11">
        <f t="shared" si="7"/>
        <v>18.3</v>
      </c>
    </row>
    <row r="91" spans="1:17" x14ac:dyDescent="0.25">
      <c r="A91">
        <v>1990</v>
      </c>
      <c r="B91">
        <v>18.3</v>
      </c>
      <c r="C91">
        <v>20.8</v>
      </c>
      <c r="D91">
        <v>16.100000000000001</v>
      </c>
      <c r="E91">
        <v>10.4</v>
      </c>
      <c r="F91">
        <v>7.7</v>
      </c>
      <c r="G91">
        <v>6.1</v>
      </c>
      <c r="H91">
        <v>6</v>
      </c>
      <c r="I91">
        <v>8.1</v>
      </c>
      <c r="J91">
        <v>8.6999999999999993</v>
      </c>
      <c r="K91">
        <v>12.4</v>
      </c>
      <c r="L91">
        <v>15.1</v>
      </c>
      <c r="M91">
        <v>17.399999999999999</v>
      </c>
      <c r="N91" s="11">
        <f t="shared" si="4"/>
        <v>11.4</v>
      </c>
      <c r="O91" s="11">
        <f t="shared" si="5"/>
        <v>6.7333333333333334</v>
      </c>
      <c r="P91" s="11">
        <f t="shared" si="6"/>
        <v>12.066666666666668</v>
      </c>
      <c r="Q91" s="11">
        <f t="shared" si="7"/>
        <v>18.133333333333329</v>
      </c>
    </row>
    <row r="92" spans="1:17" x14ac:dyDescent="0.25">
      <c r="A92">
        <v>1991</v>
      </c>
      <c r="B92">
        <v>17.7</v>
      </c>
      <c r="C92">
        <v>19.3</v>
      </c>
      <c r="D92">
        <v>16.2</v>
      </c>
      <c r="E92">
        <v>12.1</v>
      </c>
      <c r="F92">
        <v>8.1</v>
      </c>
      <c r="G92">
        <v>5.4</v>
      </c>
      <c r="H92">
        <v>4.3</v>
      </c>
      <c r="I92">
        <v>4.8</v>
      </c>
      <c r="J92">
        <v>8.8000000000000007</v>
      </c>
      <c r="K92">
        <v>11.7</v>
      </c>
      <c r="L92">
        <v>14.6</v>
      </c>
      <c r="M92">
        <v>13.9</v>
      </c>
      <c r="N92" s="11">
        <f t="shared" si="4"/>
        <v>12.133333333333333</v>
      </c>
      <c r="O92" s="11">
        <f t="shared" si="5"/>
        <v>4.833333333333333</v>
      </c>
      <c r="P92" s="11">
        <f t="shared" si="6"/>
        <v>11.700000000000001</v>
      </c>
      <c r="Q92" s="11">
        <f t="shared" si="7"/>
        <v>17.233333333333331</v>
      </c>
    </row>
    <row r="93" spans="1:17" x14ac:dyDescent="0.25">
      <c r="A93">
        <v>1992</v>
      </c>
      <c r="B93">
        <v>20.399999999999999</v>
      </c>
      <c r="C93">
        <v>17.399999999999999</v>
      </c>
      <c r="D93">
        <v>17.5</v>
      </c>
      <c r="E93">
        <v>11.1</v>
      </c>
      <c r="F93">
        <v>6.3</v>
      </c>
      <c r="G93">
        <v>3.7</v>
      </c>
      <c r="H93">
        <v>3</v>
      </c>
      <c r="I93">
        <v>7.2000010000000003</v>
      </c>
      <c r="J93">
        <v>9.1</v>
      </c>
      <c r="K93">
        <v>10.4</v>
      </c>
      <c r="L93">
        <v>16.2</v>
      </c>
      <c r="M93">
        <v>16</v>
      </c>
      <c r="N93" s="11">
        <f t="shared" si="4"/>
        <v>11.633333333333333</v>
      </c>
      <c r="O93" s="11">
        <f t="shared" si="5"/>
        <v>4.6333336666666662</v>
      </c>
      <c r="P93" s="11">
        <f t="shared" si="6"/>
        <v>11.9</v>
      </c>
      <c r="Q93" s="11">
        <f t="shared" si="7"/>
        <v>17.7</v>
      </c>
    </row>
    <row r="94" spans="1:17" x14ac:dyDescent="0.25">
      <c r="A94">
        <v>1993</v>
      </c>
      <c r="B94">
        <v>17.8</v>
      </c>
      <c r="C94">
        <v>19.3</v>
      </c>
      <c r="D94">
        <v>16.8</v>
      </c>
      <c r="E94">
        <v>12.4</v>
      </c>
      <c r="F94">
        <v>7.1</v>
      </c>
      <c r="G94">
        <v>5.7</v>
      </c>
      <c r="H94">
        <v>3.9</v>
      </c>
      <c r="I94">
        <v>6.9000009999999996</v>
      </c>
      <c r="J94">
        <v>9.3000000000000007</v>
      </c>
      <c r="K94">
        <v>12.3</v>
      </c>
      <c r="L94">
        <v>13.5</v>
      </c>
      <c r="M94">
        <v>16.600000000000001</v>
      </c>
      <c r="N94" s="11">
        <f t="shared" si="4"/>
        <v>12.100000000000001</v>
      </c>
      <c r="O94" s="11">
        <f t="shared" si="5"/>
        <v>5.5000003333333325</v>
      </c>
      <c r="P94" s="11">
        <f t="shared" si="6"/>
        <v>11.700000000000001</v>
      </c>
      <c r="Q94" s="11">
        <f t="shared" si="7"/>
        <v>18.033333333333335</v>
      </c>
    </row>
    <row r="95" spans="1:17" x14ac:dyDescent="0.25">
      <c r="A95">
        <v>1994</v>
      </c>
      <c r="B95">
        <v>19.3</v>
      </c>
      <c r="C95">
        <v>18.2</v>
      </c>
      <c r="D95">
        <v>17.100000000000001</v>
      </c>
      <c r="E95">
        <v>11.6</v>
      </c>
      <c r="F95">
        <v>9.199999</v>
      </c>
      <c r="G95">
        <v>7</v>
      </c>
      <c r="H95">
        <v>5.0999999999999996</v>
      </c>
      <c r="I95">
        <v>6.3</v>
      </c>
      <c r="J95">
        <v>8.6999999999999993</v>
      </c>
      <c r="K95">
        <v>11.8</v>
      </c>
      <c r="L95">
        <v>14.5</v>
      </c>
      <c r="M95">
        <v>16.899999999999999</v>
      </c>
      <c r="N95" s="11">
        <f t="shared" si="4"/>
        <v>12.633333</v>
      </c>
      <c r="O95" s="11">
        <f t="shared" si="5"/>
        <v>6.1333333333333329</v>
      </c>
      <c r="P95" s="11">
        <f t="shared" si="6"/>
        <v>11.666666666666666</v>
      </c>
      <c r="Q95" s="11">
        <f t="shared" si="7"/>
        <v>17.666666666666668</v>
      </c>
    </row>
    <row r="96" spans="1:17" x14ac:dyDescent="0.25">
      <c r="A96">
        <v>1995</v>
      </c>
      <c r="B96">
        <v>17.3</v>
      </c>
      <c r="C96">
        <v>18.8</v>
      </c>
      <c r="D96">
        <v>15.9</v>
      </c>
      <c r="E96">
        <v>13.4</v>
      </c>
      <c r="F96">
        <v>9.5</v>
      </c>
      <c r="G96">
        <v>5</v>
      </c>
      <c r="H96">
        <v>3.6</v>
      </c>
      <c r="I96">
        <v>3.8</v>
      </c>
      <c r="J96">
        <v>9</v>
      </c>
      <c r="K96">
        <v>11.6</v>
      </c>
      <c r="L96">
        <v>15.2</v>
      </c>
      <c r="M96">
        <v>20.2</v>
      </c>
      <c r="N96" s="11">
        <f t="shared" si="4"/>
        <v>12.933333333333332</v>
      </c>
      <c r="O96" s="11">
        <f t="shared" si="5"/>
        <v>4.1333333333333329</v>
      </c>
      <c r="P96" s="11">
        <f t="shared" si="6"/>
        <v>11.933333333333332</v>
      </c>
      <c r="Q96" s="11">
        <f t="shared" si="7"/>
        <v>18.8</v>
      </c>
    </row>
    <row r="97" spans="1:17" x14ac:dyDescent="0.25">
      <c r="A97">
        <v>1996</v>
      </c>
      <c r="B97">
        <v>18.100000000000001</v>
      </c>
      <c r="C97">
        <v>18.100000000000001</v>
      </c>
      <c r="D97">
        <v>17.2</v>
      </c>
      <c r="E97">
        <v>11.5</v>
      </c>
      <c r="F97">
        <v>9.7999989999999997</v>
      </c>
      <c r="G97">
        <v>4.4000000000000004</v>
      </c>
      <c r="H97">
        <v>6.5</v>
      </c>
      <c r="I97">
        <v>7.6</v>
      </c>
      <c r="J97">
        <v>11.2</v>
      </c>
      <c r="K97">
        <v>11.9</v>
      </c>
      <c r="L97">
        <v>14.4</v>
      </c>
      <c r="M97">
        <v>14.5</v>
      </c>
      <c r="N97" s="11">
        <f t="shared" ref="N97:N122" si="8">IF(AND(ISNUMBER(D97),ISNUMBER(E97),ISNUMBER(F97)),AVERAGE(D97:F97),"")</f>
        <v>12.833333000000001</v>
      </c>
      <c r="O97" s="11">
        <f t="shared" ref="O97:O122" si="9">IF(AND(ISNUMBER(G97),ISNUMBER(H97),ISNUMBER(I97)),AVERAGE(G97:I97),"")</f>
        <v>6.166666666666667</v>
      </c>
      <c r="P97" s="11">
        <f t="shared" ref="P97:P122" si="10">IF(AND(ISNUMBER(J97),ISNUMBER(K97),ISNUMBER(L97)),AVERAGE(J97:L97),"")</f>
        <v>12.5</v>
      </c>
      <c r="Q97" s="11">
        <f t="shared" ref="Q97:Q122" si="11">IF(AND(ISNUMBER(M97),ISNUMBER(B98),ISNUMBER(C98)),AVERAGE(M97,B98:C98),"")</f>
        <v>16.666666666666668</v>
      </c>
    </row>
    <row r="98" spans="1:17" x14ac:dyDescent="0.25">
      <c r="A98">
        <v>1997</v>
      </c>
      <c r="B98">
        <v>18.399999999999999</v>
      </c>
      <c r="C98">
        <v>17.100000000000001</v>
      </c>
      <c r="D98">
        <v>17.600000000000001</v>
      </c>
      <c r="E98">
        <v>12.7</v>
      </c>
      <c r="F98">
        <v>9.4000009999999996</v>
      </c>
      <c r="G98">
        <v>6.800001</v>
      </c>
      <c r="H98">
        <v>6.7000010000000003</v>
      </c>
      <c r="I98">
        <v>6.2</v>
      </c>
      <c r="J98">
        <v>9.1</v>
      </c>
      <c r="K98">
        <v>11.5</v>
      </c>
      <c r="L98">
        <v>13.7</v>
      </c>
      <c r="M98">
        <v>16.600000000000001</v>
      </c>
      <c r="N98" s="11">
        <f t="shared" si="8"/>
        <v>13.233333666666667</v>
      </c>
      <c r="O98" s="11">
        <f t="shared" si="9"/>
        <v>6.5666673333333341</v>
      </c>
      <c r="P98" s="11">
        <f t="shared" si="10"/>
        <v>11.433333333333332</v>
      </c>
      <c r="Q98" s="11">
        <f t="shared" si="11"/>
        <v>18</v>
      </c>
    </row>
    <row r="99" spans="1:17" x14ac:dyDescent="0.25">
      <c r="A99">
        <v>1998</v>
      </c>
      <c r="B99">
        <v>17</v>
      </c>
      <c r="C99">
        <v>20.399999999999999</v>
      </c>
      <c r="D99">
        <v>16.3</v>
      </c>
      <c r="E99">
        <v>12.2</v>
      </c>
      <c r="F99">
        <v>11.3</v>
      </c>
      <c r="G99">
        <v>6</v>
      </c>
      <c r="H99">
        <v>7.5</v>
      </c>
      <c r="I99">
        <v>7.5</v>
      </c>
      <c r="J99">
        <v>9.199999</v>
      </c>
      <c r="K99">
        <v>13.4</v>
      </c>
      <c r="L99">
        <v>15.3</v>
      </c>
      <c r="M99">
        <v>18.100000000000001</v>
      </c>
      <c r="N99" s="11">
        <f t="shared" si="8"/>
        <v>13.266666666666666</v>
      </c>
      <c r="O99" s="11">
        <f t="shared" si="9"/>
        <v>7</v>
      </c>
      <c r="P99" s="11">
        <f t="shared" si="10"/>
        <v>12.633333</v>
      </c>
      <c r="Q99" s="11">
        <f t="shared" si="11"/>
        <v>19.7</v>
      </c>
    </row>
    <row r="100" spans="1:17" x14ac:dyDescent="0.25">
      <c r="A100">
        <v>1999</v>
      </c>
      <c r="B100">
        <v>21.9</v>
      </c>
      <c r="C100">
        <v>19.100000000000001</v>
      </c>
      <c r="D100">
        <v>15.6</v>
      </c>
      <c r="E100">
        <v>12.4</v>
      </c>
      <c r="F100">
        <v>10</v>
      </c>
      <c r="G100">
        <v>3.9</v>
      </c>
      <c r="H100">
        <v>4.2</v>
      </c>
      <c r="I100">
        <v>7.6</v>
      </c>
      <c r="J100">
        <v>9.9000009999999996</v>
      </c>
      <c r="K100">
        <v>13.6</v>
      </c>
      <c r="L100">
        <v>16.5</v>
      </c>
      <c r="M100">
        <v>17.399999999999999</v>
      </c>
      <c r="N100" s="11">
        <f t="shared" si="8"/>
        <v>12.666666666666666</v>
      </c>
      <c r="O100" s="11">
        <f t="shared" si="9"/>
        <v>5.2333333333333334</v>
      </c>
      <c r="P100" s="11">
        <f t="shared" si="10"/>
        <v>13.333333666666666</v>
      </c>
      <c r="Q100" s="11">
        <f t="shared" si="11"/>
        <v>18</v>
      </c>
    </row>
    <row r="101" spans="1:17" x14ac:dyDescent="0.25">
      <c r="A101">
        <v>2000</v>
      </c>
      <c r="B101">
        <v>19.5</v>
      </c>
      <c r="C101">
        <v>17.100000000000001</v>
      </c>
      <c r="D101">
        <v>15.8</v>
      </c>
      <c r="E101">
        <v>12.8</v>
      </c>
      <c r="F101">
        <v>8.6</v>
      </c>
      <c r="G101">
        <v>4.8</v>
      </c>
      <c r="H101">
        <v>4.0999999999999996</v>
      </c>
      <c r="I101">
        <v>6.2</v>
      </c>
      <c r="J101">
        <v>7.2</v>
      </c>
      <c r="K101">
        <v>13</v>
      </c>
      <c r="L101">
        <v>13.9</v>
      </c>
      <c r="M101">
        <v>15.6</v>
      </c>
      <c r="N101" s="11">
        <f t="shared" si="8"/>
        <v>12.4</v>
      </c>
      <c r="O101" s="11">
        <f t="shared" si="9"/>
        <v>5.0333333333333323</v>
      </c>
      <c r="P101" s="11">
        <f t="shared" si="10"/>
        <v>11.366666666666667</v>
      </c>
      <c r="Q101" s="11">
        <f t="shared" si="11"/>
        <v>17.233333333333334</v>
      </c>
    </row>
    <row r="102" spans="1:17" x14ac:dyDescent="0.25">
      <c r="A102">
        <v>2001</v>
      </c>
      <c r="B102">
        <v>17.5</v>
      </c>
      <c r="C102">
        <v>18.600000000000001</v>
      </c>
      <c r="D102">
        <v>15.1</v>
      </c>
      <c r="E102">
        <v>12.4</v>
      </c>
      <c r="F102">
        <v>7.6</v>
      </c>
      <c r="G102">
        <v>5.8</v>
      </c>
      <c r="H102">
        <v>3.4</v>
      </c>
      <c r="I102">
        <v>7.7000010000000003</v>
      </c>
      <c r="J102">
        <v>9.3000000000000007</v>
      </c>
      <c r="K102">
        <v>12.6</v>
      </c>
      <c r="L102">
        <v>14.5</v>
      </c>
      <c r="M102">
        <v>20.9</v>
      </c>
      <c r="N102" s="11">
        <f t="shared" si="8"/>
        <v>11.700000000000001</v>
      </c>
      <c r="O102" s="11">
        <f t="shared" si="9"/>
        <v>5.6333336666666662</v>
      </c>
      <c r="P102" s="11">
        <f t="shared" si="10"/>
        <v>12.133333333333333</v>
      </c>
      <c r="Q102" s="11">
        <f t="shared" si="11"/>
        <v>20.566666666666666</v>
      </c>
    </row>
    <row r="103" spans="1:17" x14ac:dyDescent="0.25">
      <c r="A103">
        <v>2002</v>
      </c>
      <c r="B103">
        <v>20.8</v>
      </c>
      <c r="C103">
        <v>20</v>
      </c>
      <c r="D103">
        <v>13.5</v>
      </c>
      <c r="E103">
        <v>11.2</v>
      </c>
      <c r="F103">
        <v>8.1999999999999993</v>
      </c>
      <c r="G103">
        <v>3.9</v>
      </c>
      <c r="H103">
        <v>7.1</v>
      </c>
      <c r="I103">
        <v>7.2000010000000003</v>
      </c>
      <c r="J103">
        <v>8.1</v>
      </c>
      <c r="K103">
        <v>10.199999999999999</v>
      </c>
      <c r="L103">
        <v>13.6</v>
      </c>
      <c r="M103">
        <v>17.8</v>
      </c>
      <c r="N103" s="11">
        <f t="shared" si="8"/>
        <v>10.966666666666667</v>
      </c>
      <c r="O103" s="11">
        <f t="shared" si="9"/>
        <v>6.0666669999999998</v>
      </c>
      <c r="P103" s="11">
        <f t="shared" si="10"/>
        <v>10.633333333333333</v>
      </c>
      <c r="Q103" s="11">
        <f t="shared" si="11"/>
        <v>17.933333333333334</v>
      </c>
    </row>
    <row r="104" spans="1:17" x14ac:dyDescent="0.25">
      <c r="A104">
        <v>2003</v>
      </c>
      <c r="B104">
        <v>17.899999999999999</v>
      </c>
      <c r="C104">
        <v>18.100000000000001</v>
      </c>
      <c r="D104">
        <v>18.8</v>
      </c>
      <c r="E104">
        <v>12.1</v>
      </c>
      <c r="F104">
        <v>9.199999</v>
      </c>
      <c r="G104">
        <v>6.3</v>
      </c>
      <c r="H104">
        <v>6</v>
      </c>
      <c r="I104">
        <v>7.8</v>
      </c>
      <c r="J104">
        <v>9</v>
      </c>
      <c r="K104">
        <v>11.9</v>
      </c>
      <c r="L104">
        <v>13.8</v>
      </c>
      <c r="M104">
        <v>14</v>
      </c>
      <c r="N104" s="11">
        <f t="shared" si="8"/>
        <v>13.366666333333333</v>
      </c>
      <c r="O104" s="11">
        <f t="shared" si="9"/>
        <v>6.7</v>
      </c>
      <c r="P104" s="11">
        <f t="shared" si="10"/>
        <v>11.566666666666668</v>
      </c>
      <c r="Q104" s="11">
        <f t="shared" si="11"/>
        <v>18.833333333333332</v>
      </c>
    </row>
    <row r="105" spans="1:17" x14ac:dyDescent="0.25">
      <c r="A105">
        <v>2004</v>
      </c>
      <c r="B105">
        <v>20.6</v>
      </c>
      <c r="C105">
        <v>21.9</v>
      </c>
      <c r="D105">
        <v>17.600000000000001</v>
      </c>
      <c r="E105">
        <v>10.4</v>
      </c>
      <c r="F105">
        <v>8.6</v>
      </c>
      <c r="G105">
        <v>6.9000009999999996</v>
      </c>
      <c r="H105">
        <v>4.8</v>
      </c>
      <c r="I105">
        <v>7.5</v>
      </c>
      <c r="J105">
        <v>9</v>
      </c>
      <c r="K105">
        <v>11.2</v>
      </c>
      <c r="L105">
        <v>14.9</v>
      </c>
      <c r="M105">
        <v>17.8</v>
      </c>
      <c r="N105" s="11">
        <f t="shared" si="8"/>
        <v>12.200000000000001</v>
      </c>
      <c r="O105" s="11">
        <f t="shared" si="9"/>
        <v>6.4000003333333337</v>
      </c>
      <c r="P105" s="11">
        <f t="shared" si="10"/>
        <v>11.700000000000001</v>
      </c>
      <c r="Q105" s="11">
        <f t="shared" si="11"/>
        <v>19.566666666666666</v>
      </c>
    </row>
    <row r="106" spans="1:17" x14ac:dyDescent="0.25">
      <c r="A106">
        <v>2005</v>
      </c>
      <c r="B106">
        <v>17.899999999999999</v>
      </c>
      <c r="C106">
        <v>23</v>
      </c>
      <c r="D106">
        <v>14.6</v>
      </c>
      <c r="E106">
        <v>11.7</v>
      </c>
      <c r="F106">
        <v>6.6</v>
      </c>
      <c r="G106">
        <v>4.0999999999999996</v>
      </c>
      <c r="H106">
        <v>6.5</v>
      </c>
      <c r="I106">
        <v>5</v>
      </c>
      <c r="J106">
        <v>9.6999999999999993</v>
      </c>
      <c r="K106">
        <v>11.2</v>
      </c>
      <c r="L106">
        <v>14.2</v>
      </c>
      <c r="M106">
        <v>17.8</v>
      </c>
      <c r="N106" s="11">
        <f t="shared" si="8"/>
        <v>10.966666666666667</v>
      </c>
      <c r="O106" s="11">
        <f t="shared" si="9"/>
        <v>5.2</v>
      </c>
      <c r="P106" s="11">
        <f t="shared" si="10"/>
        <v>11.699999999999998</v>
      </c>
      <c r="Q106" s="11">
        <f t="shared" si="11"/>
        <v>19.033333333333335</v>
      </c>
    </row>
    <row r="107" spans="1:17" x14ac:dyDescent="0.25">
      <c r="A107">
        <v>2006</v>
      </c>
      <c r="B107">
        <v>18.899999999999999</v>
      </c>
      <c r="C107">
        <v>20.399999999999999</v>
      </c>
      <c r="D107">
        <v>15.4</v>
      </c>
      <c r="E107">
        <v>12.7</v>
      </c>
      <c r="F107">
        <v>8.8000000000000007</v>
      </c>
      <c r="G107">
        <v>6.4000009999999996</v>
      </c>
      <c r="H107">
        <v>4.9000000000000004</v>
      </c>
      <c r="I107">
        <v>7</v>
      </c>
      <c r="J107">
        <v>9.4999990000000007</v>
      </c>
      <c r="K107">
        <v>11.2</v>
      </c>
      <c r="L107">
        <v>14.9</v>
      </c>
      <c r="M107">
        <v>15.8</v>
      </c>
      <c r="N107" s="11">
        <f t="shared" si="8"/>
        <v>12.300000000000002</v>
      </c>
      <c r="O107" s="11">
        <f t="shared" si="9"/>
        <v>6.1000003333333339</v>
      </c>
      <c r="P107" s="11">
        <f t="shared" si="10"/>
        <v>11.866666333333333</v>
      </c>
      <c r="Q107" s="11">
        <f t="shared" si="11"/>
        <v>17.7</v>
      </c>
    </row>
    <row r="108" spans="1:17" x14ac:dyDescent="0.25">
      <c r="A108">
        <v>2007</v>
      </c>
      <c r="B108">
        <v>19.8</v>
      </c>
      <c r="C108">
        <v>17.5</v>
      </c>
      <c r="D108">
        <v>16.5</v>
      </c>
      <c r="E108">
        <v>12</v>
      </c>
      <c r="F108">
        <v>7.2</v>
      </c>
      <c r="G108">
        <v>4.3</v>
      </c>
      <c r="H108">
        <v>4.2</v>
      </c>
      <c r="I108">
        <v>5.0999999999999996</v>
      </c>
      <c r="J108">
        <v>8.8000000000000007</v>
      </c>
      <c r="K108">
        <v>10.7</v>
      </c>
      <c r="L108">
        <v>14.1</v>
      </c>
      <c r="M108">
        <v>17.7</v>
      </c>
      <c r="N108" s="11">
        <f t="shared" si="8"/>
        <v>11.9</v>
      </c>
      <c r="O108" s="11">
        <f t="shared" si="9"/>
        <v>4.5333333333333332</v>
      </c>
      <c r="P108" s="11">
        <f t="shared" si="10"/>
        <v>11.200000000000001</v>
      </c>
      <c r="Q108" s="11">
        <f t="shared" si="11"/>
        <v>20.3</v>
      </c>
    </row>
    <row r="109" spans="1:17" x14ac:dyDescent="0.25">
      <c r="A109">
        <v>2008</v>
      </c>
      <c r="B109">
        <v>21.1</v>
      </c>
      <c r="C109">
        <v>22.1</v>
      </c>
      <c r="D109">
        <v>18.3</v>
      </c>
      <c r="E109">
        <v>12.4</v>
      </c>
      <c r="F109">
        <v>7.8</v>
      </c>
      <c r="G109">
        <v>5.6</v>
      </c>
      <c r="H109">
        <v>6</v>
      </c>
      <c r="I109">
        <v>5.2</v>
      </c>
      <c r="J109">
        <v>9.9999990000000007</v>
      </c>
      <c r="K109">
        <v>12.6</v>
      </c>
      <c r="L109">
        <v>16.7</v>
      </c>
      <c r="M109">
        <v>20.5</v>
      </c>
      <c r="N109" s="11">
        <f t="shared" si="8"/>
        <v>12.833333333333334</v>
      </c>
      <c r="O109" s="11">
        <f t="shared" si="9"/>
        <v>5.6000000000000005</v>
      </c>
      <c r="P109" s="11">
        <f t="shared" si="10"/>
        <v>13.099999666666667</v>
      </c>
      <c r="Q109" s="11">
        <f t="shared" si="11"/>
        <v>20.166666666666668</v>
      </c>
    </row>
    <row r="110" spans="1:17" x14ac:dyDescent="0.25">
      <c r="A110">
        <v>2009</v>
      </c>
      <c r="B110">
        <v>21.3</v>
      </c>
      <c r="C110">
        <v>18.7</v>
      </c>
      <c r="D110">
        <v>17.5</v>
      </c>
      <c r="E110">
        <v>14.1</v>
      </c>
      <c r="F110">
        <v>7.9</v>
      </c>
      <c r="G110">
        <v>6.1</v>
      </c>
      <c r="H110">
        <v>5.0999999999999996</v>
      </c>
      <c r="I110">
        <v>7.1</v>
      </c>
      <c r="J110">
        <v>9.6999999999999993</v>
      </c>
      <c r="K110">
        <v>11</v>
      </c>
      <c r="L110">
        <v>10.9</v>
      </c>
      <c r="M110">
        <v>16</v>
      </c>
      <c r="N110" s="11">
        <f t="shared" si="8"/>
        <v>13.166666666666666</v>
      </c>
      <c r="O110" s="11">
        <f t="shared" si="9"/>
        <v>6.0999999999999988</v>
      </c>
      <c r="P110" s="11">
        <f t="shared" si="10"/>
        <v>10.533333333333333</v>
      </c>
      <c r="Q110" s="11">
        <f t="shared" si="11"/>
        <v>16.833333333333332</v>
      </c>
    </row>
    <row r="111" spans="1:17" x14ac:dyDescent="0.25">
      <c r="A111">
        <v>2010</v>
      </c>
      <c r="B111">
        <v>18</v>
      </c>
      <c r="C111">
        <v>16.5</v>
      </c>
      <c r="D111">
        <v>18.3</v>
      </c>
      <c r="E111">
        <v>12.1</v>
      </c>
      <c r="F111">
        <v>7.8</v>
      </c>
      <c r="G111">
        <v>6.3</v>
      </c>
      <c r="H111">
        <v>4.5</v>
      </c>
      <c r="I111">
        <v>5.8</v>
      </c>
      <c r="J111">
        <v>9.199999</v>
      </c>
      <c r="K111">
        <v>12.7</v>
      </c>
      <c r="L111">
        <v>14.6</v>
      </c>
      <c r="M111">
        <v>15.9</v>
      </c>
      <c r="N111" s="11">
        <f t="shared" si="8"/>
        <v>12.733333333333333</v>
      </c>
      <c r="O111" s="11">
        <f t="shared" si="9"/>
        <v>5.5333333333333341</v>
      </c>
      <c r="P111" s="11">
        <f t="shared" si="10"/>
        <v>12.166666333333334</v>
      </c>
      <c r="Q111" s="11">
        <f t="shared" si="11"/>
        <v>18.266666666666666</v>
      </c>
    </row>
    <row r="112" spans="1:17" x14ac:dyDescent="0.25">
      <c r="A112">
        <v>2011</v>
      </c>
      <c r="B112">
        <v>18.600000000000001</v>
      </c>
      <c r="C112">
        <v>20.3</v>
      </c>
      <c r="D112">
        <v>15.5</v>
      </c>
      <c r="E112">
        <v>12.1</v>
      </c>
      <c r="F112">
        <v>8.6999999999999993</v>
      </c>
      <c r="G112">
        <v>5.8</v>
      </c>
      <c r="H112">
        <v>5</v>
      </c>
      <c r="I112">
        <v>5.6</v>
      </c>
      <c r="J112">
        <v>9.3000000000000007</v>
      </c>
      <c r="K112">
        <v>12.1</v>
      </c>
      <c r="L112">
        <v>15.5</v>
      </c>
      <c r="M112">
        <v>19.8</v>
      </c>
      <c r="N112" s="11">
        <f t="shared" si="8"/>
        <v>12.1</v>
      </c>
      <c r="O112" s="11">
        <f t="shared" si="9"/>
        <v>5.4666666666666659</v>
      </c>
      <c r="P112" s="11">
        <f t="shared" si="10"/>
        <v>12.299999999999999</v>
      </c>
      <c r="Q112" s="11">
        <f t="shared" si="11"/>
        <v>19.266666666666666</v>
      </c>
    </row>
    <row r="113" spans="1:17" x14ac:dyDescent="0.25">
      <c r="A113">
        <v>2012</v>
      </c>
      <c r="B113">
        <v>21</v>
      </c>
      <c r="C113">
        <v>17</v>
      </c>
      <c r="D113">
        <v>17</v>
      </c>
      <c r="E113">
        <v>11.9</v>
      </c>
      <c r="F113">
        <v>8.8000000000000007</v>
      </c>
      <c r="G113">
        <v>5.4</v>
      </c>
      <c r="H113">
        <v>4.3</v>
      </c>
      <c r="I113">
        <v>7.2000010000000003</v>
      </c>
      <c r="J113">
        <v>9.9999990000000007</v>
      </c>
      <c r="K113">
        <v>12</v>
      </c>
      <c r="L113">
        <v>16.2</v>
      </c>
      <c r="M113">
        <v>13.9</v>
      </c>
      <c r="N113" s="11">
        <f t="shared" si="8"/>
        <v>12.566666666666668</v>
      </c>
      <c r="O113" s="11">
        <f t="shared" si="9"/>
        <v>5.6333336666666662</v>
      </c>
      <c r="P113" s="11">
        <f t="shared" si="10"/>
        <v>12.733333000000002</v>
      </c>
      <c r="Q113" s="11">
        <f t="shared" si="11"/>
        <v>18.099999999999998</v>
      </c>
    </row>
    <row r="114" spans="1:17" x14ac:dyDescent="0.25">
      <c r="A114">
        <v>2013</v>
      </c>
      <c r="B114">
        <v>21.4</v>
      </c>
      <c r="C114">
        <v>19</v>
      </c>
      <c r="D114">
        <v>14.7</v>
      </c>
      <c r="E114">
        <v>14.4</v>
      </c>
      <c r="F114">
        <v>9.1</v>
      </c>
      <c r="G114">
        <v>6.7000010000000003</v>
      </c>
      <c r="H114">
        <v>5.8</v>
      </c>
      <c r="I114">
        <v>5.9</v>
      </c>
      <c r="J114">
        <v>7.9</v>
      </c>
      <c r="K114">
        <v>13.5</v>
      </c>
      <c r="L114">
        <v>15.8</v>
      </c>
      <c r="M114">
        <v>19.399999999999999</v>
      </c>
      <c r="N114" s="11">
        <f t="shared" si="8"/>
        <v>12.733333333333334</v>
      </c>
      <c r="O114" s="11">
        <f t="shared" si="9"/>
        <v>6.133333666666668</v>
      </c>
      <c r="P114" s="11">
        <f t="shared" si="10"/>
        <v>12.4</v>
      </c>
      <c r="Q114" s="11">
        <f t="shared" si="11"/>
        <v>18.7</v>
      </c>
    </row>
    <row r="115" spans="1:17" x14ac:dyDescent="0.25">
      <c r="A115">
        <v>2014</v>
      </c>
      <c r="B115">
        <v>18.600000000000001</v>
      </c>
      <c r="C115">
        <v>18.100000000000001</v>
      </c>
      <c r="D115">
        <v>15.7</v>
      </c>
      <c r="E115">
        <v>10.7</v>
      </c>
      <c r="F115">
        <v>8.4000009999999996</v>
      </c>
      <c r="G115">
        <v>5.7</v>
      </c>
      <c r="H115">
        <v>5.5999990000000004</v>
      </c>
      <c r="I115">
        <v>8.6</v>
      </c>
      <c r="J115">
        <v>8.5</v>
      </c>
      <c r="K115">
        <v>12.3</v>
      </c>
      <c r="L115">
        <v>13.9</v>
      </c>
      <c r="M115">
        <v>17.399999999999999</v>
      </c>
      <c r="N115" s="11">
        <f t="shared" si="8"/>
        <v>11.600000333333332</v>
      </c>
      <c r="O115" s="11">
        <f t="shared" si="9"/>
        <v>6.6333330000000004</v>
      </c>
      <c r="P115" s="11">
        <f t="shared" si="10"/>
        <v>11.566666666666668</v>
      </c>
      <c r="Q115" s="11">
        <f t="shared" si="11"/>
        <v>19.066666666666666</v>
      </c>
    </row>
    <row r="116" spans="1:17" x14ac:dyDescent="0.25">
      <c r="A116">
        <v>2015</v>
      </c>
      <c r="B116">
        <v>20.100000000000001</v>
      </c>
      <c r="C116">
        <v>19.7</v>
      </c>
      <c r="D116">
        <v>18.2</v>
      </c>
      <c r="E116">
        <v>13.5</v>
      </c>
      <c r="F116">
        <v>9.6999999999999993</v>
      </c>
      <c r="G116">
        <v>6.3</v>
      </c>
      <c r="H116">
        <v>5.5999990000000004</v>
      </c>
      <c r="I116">
        <v>6.7000010000000003</v>
      </c>
      <c r="J116">
        <v>8.1999999999999993</v>
      </c>
      <c r="K116">
        <v>11</v>
      </c>
      <c r="L116">
        <v>15.9</v>
      </c>
      <c r="M116">
        <v>17.600000000000001</v>
      </c>
      <c r="N116" s="11">
        <f t="shared" si="8"/>
        <v>13.799999999999999</v>
      </c>
      <c r="O116" s="11">
        <f t="shared" si="9"/>
        <v>6.2</v>
      </c>
      <c r="P116" s="11">
        <f t="shared" si="10"/>
        <v>11.700000000000001</v>
      </c>
      <c r="Q116" s="11">
        <f t="shared" si="11"/>
        <v>19</v>
      </c>
    </row>
    <row r="117" spans="1:17" x14ac:dyDescent="0.25">
      <c r="A117">
        <v>2016</v>
      </c>
      <c r="B117">
        <v>20.7</v>
      </c>
      <c r="C117">
        <v>18.7</v>
      </c>
      <c r="D117">
        <v>18.899999999999999</v>
      </c>
      <c r="E117">
        <v>11.2</v>
      </c>
      <c r="F117">
        <v>7.6</v>
      </c>
      <c r="G117">
        <v>5.8</v>
      </c>
      <c r="H117">
        <v>5</v>
      </c>
      <c r="I117">
        <v>8</v>
      </c>
      <c r="J117">
        <v>10.3</v>
      </c>
      <c r="K117">
        <v>12.5</v>
      </c>
      <c r="L117">
        <v>16.3</v>
      </c>
      <c r="M117">
        <v>17.899999999999999</v>
      </c>
      <c r="N117" s="11">
        <f t="shared" si="8"/>
        <v>12.566666666666665</v>
      </c>
      <c r="O117" s="11">
        <f t="shared" si="9"/>
        <v>6.2666666666666666</v>
      </c>
      <c r="P117" s="11">
        <f t="shared" si="10"/>
        <v>13.033333333333333</v>
      </c>
      <c r="Q117" s="11">
        <f t="shared" si="11"/>
        <v>19.099999999999998</v>
      </c>
    </row>
    <row r="118" spans="1:17" x14ac:dyDescent="0.25">
      <c r="A118">
        <v>2017</v>
      </c>
      <c r="B118">
        <v>18.899999999999999</v>
      </c>
      <c r="C118">
        <v>20.5</v>
      </c>
      <c r="D118">
        <v>16.600000000000001</v>
      </c>
      <c r="E118">
        <v>11.4</v>
      </c>
      <c r="F118">
        <v>8.9000009999999996</v>
      </c>
      <c r="G118">
        <v>5</v>
      </c>
      <c r="H118">
        <v>6</v>
      </c>
      <c r="I118">
        <v>6.6</v>
      </c>
      <c r="J118">
        <v>10.1</v>
      </c>
      <c r="K118">
        <v>10.8</v>
      </c>
      <c r="L118">
        <v>15</v>
      </c>
      <c r="M118">
        <v>17.399999999999999</v>
      </c>
      <c r="N118" s="11">
        <f t="shared" si="8"/>
        <v>12.300000333333335</v>
      </c>
      <c r="O118" s="11">
        <f t="shared" si="9"/>
        <v>5.8666666666666671</v>
      </c>
      <c r="P118" s="11">
        <f t="shared" si="10"/>
        <v>11.966666666666667</v>
      </c>
      <c r="Q118" s="11">
        <f t="shared" si="11"/>
        <v>19.399999999999999</v>
      </c>
    </row>
    <row r="119" spans="1:17" x14ac:dyDescent="0.25">
      <c r="A119">
        <v>2018</v>
      </c>
      <c r="B119">
        <v>19.899999999999999</v>
      </c>
      <c r="C119">
        <v>20.9</v>
      </c>
      <c r="D119">
        <v>15.4</v>
      </c>
      <c r="E119">
        <v>12.8</v>
      </c>
      <c r="F119">
        <v>8.6999999999999993</v>
      </c>
      <c r="G119">
        <v>4.5999999999999996</v>
      </c>
      <c r="H119">
        <v>3.7</v>
      </c>
      <c r="I119">
        <v>7.2000010000000003</v>
      </c>
      <c r="J119">
        <v>9.3000000000000007</v>
      </c>
      <c r="K119">
        <v>10.7</v>
      </c>
      <c r="L119">
        <v>14.6</v>
      </c>
      <c r="M119">
        <v>18.399999999999999</v>
      </c>
      <c r="N119" s="11">
        <f t="shared" si="8"/>
        <v>12.300000000000002</v>
      </c>
      <c r="O119" s="11">
        <f t="shared" si="9"/>
        <v>5.1666670000000003</v>
      </c>
      <c r="P119" s="11">
        <f t="shared" si="10"/>
        <v>11.533333333333333</v>
      </c>
      <c r="Q119" s="11">
        <f t="shared" si="11"/>
        <v>19.099999999999998</v>
      </c>
    </row>
    <row r="120" spans="1:17" x14ac:dyDescent="0.25">
      <c r="A120">
        <v>2019</v>
      </c>
      <c r="B120">
        <v>18.399999999999999</v>
      </c>
      <c r="C120">
        <v>20.5</v>
      </c>
      <c r="D120">
        <v>16.7</v>
      </c>
      <c r="E120">
        <v>14</v>
      </c>
      <c r="F120">
        <v>9.1</v>
      </c>
      <c r="G120">
        <v>5.6</v>
      </c>
      <c r="H120">
        <v>5.8</v>
      </c>
      <c r="I120">
        <v>6.7000010000000003</v>
      </c>
      <c r="J120">
        <v>8.5</v>
      </c>
      <c r="K120">
        <v>11.6</v>
      </c>
      <c r="L120">
        <v>14.6</v>
      </c>
      <c r="M120">
        <v>17.8</v>
      </c>
      <c r="N120">
        <f t="shared" si="8"/>
        <v>13.266666666666666</v>
      </c>
      <c r="O120">
        <f t="shared" si="9"/>
        <v>6.0333336666666666</v>
      </c>
      <c r="P120">
        <f t="shared" si="10"/>
        <v>11.566666666666668</v>
      </c>
      <c r="Q120">
        <f t="shared" si="11"/>
        <v>18.7</v>
      </c>
    </row>
    <row r="121" spans="1:17" x14ac:dyDescent="0.25">
      <c r="A121">
        <v>2020</v>
      </c>
      <c r="B121">
        <v>19.899999999999999</v>
      </c>
      <c r="C121">
        <v>18.399999999999999</v>
      </c>
      <c r="D121">
        <v>18.8</v>
      </c>
      <c r="E121">
        <v>13.6</v>
      </c>
      <c r="F121">
        <v>9.3000000000000007</v>
      </c>
      <c r="G121">
        <v>5.4</v>
      </c>
      <c r="H121">
        <v>3.6</v>
      </c>
      <c r="I121">
        <v>6.7000010000000003</v>
      </c>
      <c r="J121">
        <v>9.6999999999999993</v>
      </c>
      <c r="K121">
        <v>12.7</v>
      </c>
      <c r="L121">
        <v>16.600000000000001</v>
      </c>
      <c r="M121">
        <v>17.600000000000001</v>
      </c>
      <c r="N121">
        <f t="shared" si="8"/>
        <v>13.9</v>
      </c>
      <c r="O121">
        <f t="shared" si="9"/>
        <v>5.2333336666666668</v>
      </c>
      <c r="P121">
        <f t="shared" si="10"/>
        <v>13</v>
      </c>
      <c r="Q121">
        <f t="shared" si="11"/>
        <v>18.366666666666667</v>
      </c>
    </row>
    <row r="122" spans="1:17" x14ac:dyDescent="0.25">
      <c r="A122">
        <v>2021</v>
      </c>
      <c r="B122">
        <v>19.5</v>
      </c>
      <c r="C122">
        <v>18</v>
      </c>
      <c r="D122">
        <v>18.399999999999999</v>
      </c>
      <c r="E122">
        <v>14.2</v>
      </c>
      <c r="F122">
        <v>9.3000000000000007</v>
      </c>
      <c r="G122">
        <v>5.8</v>
      </c>
      <c r="H122">
        <v>6.8</v>
      </c>
      <c r="I122">
        <v>7.9</v>
      </c>
      <c r="J122">
        <v>10.7</v>
      </c>
      <c r="K122">
        <v>13.6</v>
      </c>
      <c r="L122">
        <v>16</v>
      </c>
      <c r="M122">
        <v>20.3</v>
      </c>
      <c r="N122">
        <f t="shared" si="8"/>
        <v>13.966666666666663</v>
      </c>
      <c r="O122">
        <f t="shared" si="9"/>
        <v>6.833333333333333</v>
      </c>
      <c r="P122">
        <f t="shared" si="10"/>
        <v>13.433333333333332</v>
      </c>
      <c r="Q122" t="str">
        <f t="shared" si="11"/>
        <v/>
      </c>
    </row>
    <row r="123" spans="1:17" x14ac:dyDescent="0.25">
      <c r="A123">
        <v>2022</v>
      </c>
      <c r="N123" t="str">
        <f>IF(AND(ISNUMBER(D123),ISNUMBER(E123),ISNUMBER(F123)),AVERAGE(D123:F123),"")</f>
        <v/>
      </c>
      <c r="O123" t="str">
        <f>IF(AND(ISNUMBER(G123),ISNUMBER(H123),ISNUMBER(I123)),AVERAGE(G123:I123),"")</f>
        <v/>
      </c>
      <c r="P123" t="str">
        <f>IF(AND(ISNUMBER(J123),ISNUMBER(K123),ISNUMBER(L123)),AVERAGE(J123:L123),"")</f>
        <v/>
      </c>
      <c r="Q123" t="str">
        <f>IF(AND(ISNUMBER(M123),ISNUMBER(B124),ISNUMBER(C124)),AVERAGE(M123,B124:C124),"")</f>
        <v/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8E1A0-D93F-4BB2-ACF4-90026C87BB43}">
  <dimension ref="A1:Q127"/>
  <sheetViews>
    <sheetView zoomScale="70" zoomScaleNormal="70" workbookViewId="0"/>
  </sheetViews>
  <sheetFormatPr defaultColWidth="11" defaultRowHeight="15" x14ac:dyDescent="0.25"/>
  <cols>
    <col min="2" max="5" width="5.7109375" bestFit="1" customWidth="1"/>
    <col min="6" max="8" width="5.85546875" bestFit="1" customWidth="1"/>
    <col min="9" max="13" width="5.7109375" bestFit="1" customWidth="1"/>
    <col min="14" max="17" width="12" bestFit="1" customWidth="1"/>
  </cols>
  <sheetData>
    <row r="1" spans="1:17" x14ac:dyDescent="0.25">
      <c r="A1" s="1" t="s">
        <v>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</row>
    <row r="3" spans="1:17" x14ac:dyDescent="0.25">
      <c r="A3">
        <v>1902</v>
      </c>
      <c r="N3" s="11" t="str">
        <f t="shared" ref="N3:N34" si="0">IF(AND(ISNUMBER(D3),ISNUMBER(E3),ISNUMBER(F3)),SUM(D3:F3),"")</f>
        <v/>
      </c>
      <c r="O3" s="11" t="str">
        <f t="shared" ref="O3:O34" si="1">IF(AND(ISNUMBER(G3),ISNUMBER(H3),ISNUMBER(I3)),SUM(G3:I3),"")</f>
        <v/>
      </c>
      <c r="P3" s="11" t="str">
        <f t="shared" ref="P3:P34" si="2">IF(AND(ISNUMBER(J3),ISNUMBER(K3),ISNUMBER(L3)),SUM(J3:L3),"")</f>
        <v/>
      </c>
      <c r="Q3" s="11" t="str">
        <f t="shared" ref="Q3:Q34" si="3">IF(AND(ISNUMBER(M3),ISNUMBER(B4),ISNUMBER(C4)),SUM(M3,B4:C4),"")</f>
        <v/>
      </c>
    </row>
    <row r="4" spans="1:17" x14ac:dyDescent="0.25">
      <c r="A4">
        <v>1903</v>
      </c>
      <c r="N4" s="11" t="str">
        <f t="shared" si="0"/>
        <v/>
      </c>
      <c r="O4" s="11" t="str">
        <f t="shared" si="1"/>
        <v/>
      </c>
      <c r="P4" s="11" t="str">
        <f t="shared" si="2"/>
        <v/>
      </c>
      <c r="Q4" s="11" t="str">
        <f t="shared" si="3"/>
        <v/>
      </c>
    </row>
    <row r="5" spans="1:17" x14ac:dyDescent="0.25">
      <c r="A5">
        <v>1904</v>
      </c>
      <c r="N5" s="11" t="str">
        <f t="shared" si="0"/>
        <v/>
      </c>
      <c r="O5" s="11" t="str">
        <f t="shared" si="1"/>
        <v/>
      </c>
      <c r="P5" s="11" t="str">
        <f t="shared" si="2"/>
        <v/>
      </c>
      <c r="Q5" s="11" t="str">
        <f t="shared" si="3"/>
        <v/>
      </c>
    </row>
    <row r="6" spans="1:17" x14ac:dyDescent="0.25">
      <c r="A6">
        <v>1905</v>
      </c>
      <c r="N6" s="11" t="str">
        <f t="shared" si="0"/>
        <v/>
      </c>
      <c r="O6" s="11" t="str">
        <f t="shared" si="1"/>
        <v/>
      </c>
      <c r="P6" s="11" t="str">
        <f t="shared" si="2"/>
        <v/>
      </c>
      <c r="Q6" s="11" t="str">
        <f t="shared" si="3"/>
        <v/>
      </c>
    </row>
    <row r="7" spans="1:17" x14ac:dyDescent="0.25">
      <c r="A7">
        <v>1906</v>
      </c>
      <c r="N7" s="11" t="str">
        <f t="shared" si="0"/>
        <v/>
      </c>
      <c r="O7" s="11" t="str">
        <f t="shared" si="1"/>
        <v/>
      </c>
      <c r="P7" s="11" t="str">
        <f t="shared" si="2"/>
        <v/>
      </c>
      <c r="Q7" s="11" t="str">
        <f t="shared" si="3"/>
        <v/>
      </c>
    </row>
    <row r="8" spans="1:17" x14ac:dyDescent="0.25">
      <c r="A8">
        <v>1907</v>
      </c>
      <c r="N8" s="11" t="str">
        <f t="shared" si="0"/>
        <v/>
      </c>
      <c r="O8" s="11" t="str">
        <f t="shared" si="1"/>
        <v/>
      </c>
      <c r="P8" s="11" t="str">
        <f t="shared" si="2"/>
        <v/>
      </c>
      <c r="Q8" s="11" t="str">
        <f t="shared" si="3"/>
        <v/>
      </c>
    </row>
    <row r="9" spans="1:17" x14ac:dyDescent="0.25">
      <c r="A9">
        <v>1908</v>
      </c>
      <c r="N9" s="11" t="str">
        <f t="shared" si="0"/>
        <v/>
      </c>
      <c r="O9" s="11" t="str">
        <f t="shared" si="1"/>
        <v/>
      </c>
      <c r="P9" s="11" t="str">
        <f t="shared" si="2"/>
        <v/>
      </c>
      <c r="Q9" s="11" t="str">
        <f t="shared" si="3"/>
        <v/>
      </c>
    </row>
    <row r="10" spans="1:17" x14ac:dyDescent="0.25">
      <c r="A10">
        <v>1909</v>
      </c>
      <c r="N10" s="11" t="str">
        <f t="shared" si="0"/>
        <v/>
      </c>
      <c r="O10" s="11" t="str">
        <f t="shared" si="1"/>
        <v/>
      </c>
      <c r="P10" s="11" t="str">
        <f t="shared" si="2"/>
        <v/>
      </c>
      <c r="Q10" s="11" t="str">
        <f t="shared" si="3"/>
        <v/>
      </c>
    </row>
    <row r="11" spans="1:17" x14ac:dyDescent="0.25">
      <c r="A11">
        <v>1910</v>
      </c>
      <c r="N11" s="11" t="str">
        <f t="shared" si="0"/>
        <v/>
      </c>
      <c r="O11" s="11" t="str">
        <f t="shared" si="1"/>
        <v/>
      </c>
      <c r="P11" s="11" t="str">
        <f t="shared" si="2"/>
        <v/>
      </c>
      <c r="Q11" s="11" t="str">
        <f t="shared" si="3"/>
        <v/>
      </c>
    </row>
    <row r="12" spans="1:17" x14ac:dyDescent="0.25">
      <c r="A12">
        <v>1911</v>
      </c>
      <c r="N12" s="11" t="str">
        <f t="shared" si="0"/>
        <v/>
      </c>
      <c r="O12" s="11" t="str">
        <f t="shared" si="1"/>
        <v/>
      </c>
      <c r="P12" s="11" t="str">
        <f t="shared" si="2"/>
        <v/>
      </c>
      <c r="Q12" s="11" t="str">
        <f t="shared" si="3"/>
        <v/>
      </c>
    </row>
    <row r="13" spans="1:17" x14ac:dyDescent="0.25">
      <c r="A13">
        <v>1912</v>
      </c>
      <c r="N13" s="11" t="str">
        <f t="shared" si="0"/>
        <v/>
      </c>
      <c r="O13" s="11" t="str">
        <f t="shared" si="1"/>
        <v/>
      </c>
      <c r="P13" s="11" t="str">
        <f t="shared" si="2"/>
        <v/>
      </c>
      <c r="Q13" s="11" t="str">
        <f t="shared" si="3"/>
        <v/>
      </c>
    </row>
    <row r="14" spans="1:17" x14ac:dyDescent="0.25">
      <c r="A14">
        <v>1913</v>
      </c>
      <c r="N14" s="11" t="str">
        <f t="shared" si="0"/>
        <v/>
      </c>
      <c r="O14" s="11" t="str">
        <f t="shared" si="1"/>
        <v/>
      </c>
      <c r="P14" s="11" t="str">
        <f t="shared" si="2"/>
        <v/>
      </c>
      <c r="Q14" s="11" t="str">
        <f t="shared" si="3"/>
        <v/>
      </c>
    </row>
    <row r="15" spans="1:17" x14ac:dyDescent="0.25">
      <c r="A15">
        <v>1914</v>
      </c>
      <c r="N15" s="11" t="str">
        <f t="shared" si="0"/>
        <v/>
      </c>
      <c r="O15" s="11" t="str">
        <f t="shared" si="1"/>
        <v/>
      </c>
      <c r="P15" s="11" t="str">
        <f t="shared" si="2"/>
        <v/>
      </c>
      <c r="Q15" s="11" t="str">
        <f t="shared" si="3"/>
        <v/>
      </c>
    </row>
    <row r="16" spans="1:17" x14ac:dyDescent="0.25">
      <c r="A16">
        <v>1915</v>
      </c>
      <c r="N16" s="11" t="str">
        <f t="shared" si="0"/>
        <v/>
      </c>
      <c r="O16" s="11" t="str">
        <f t="shared" si="1"/>
        <v/>
      </c>
      <c r="P16" s="11" t="str">
        <f t="shared" si="2"/>
        <v/>
      </c>
      <c r="Q16" s="11" t="str">
        <f t="shared" si="3"/>
        <v/>
      </c>
    </row>
    <row r="17" spans="1:17" x14ac:dyDescent="0.25">
      <c r="A17">
        <v>1916</v>
      </c>
      <c r="N17" s="11" t="str">
        <f t="shared" si="0"/>
        <v/>
      </c>
      <c r="O17" s="11" t="str">
        <f t="shared" si="1"/>
        <v/>
      </c>
      <c r="P17" s="11" t="str">
        <f t="shared" si="2"/>
        <v/>
      </c>
      <c r="Q17" s="11" t="str">
        <f t="shared" si="3"/>
        <v/>
      </c>
    </row>
    <row r="18" spans="1:17" x14ac:dyDescent="0.25">
      <c r="A18">
        <v>1917</v>
      </c>
      <c r="N18" s="11" t="str">
        <f t="shared" si="0"/>
        <v/>
      </c>
      <c r="O18" s="11" t="str">
        <f t="shared" si="1"/>
        <v/>
      </c>
      <c r="P18" s="11" t="str">
        <f t="shared" si="2"/>
        <v/>
      </c>
      <c r="Q18" s="11" t="str">
        <f t="shared" si="3"/>
        <v/>
      </c>
    </row>
    <row r="19" spans="1:17" x14ac:dyDescent="0.25">
      <c r="A19">
        <v>1918</v>
      </c>
      <c r="N19" s="11" t="str">
        <f t="shared" si="0"/>
        <v/>
      </c>
      <c r="O19" s="11" t="str">
        <f t="shared" si="1"/>
        <v/>
      </c>
      <c r="P19" s="11" t="str">
        <f t="shared" si="2"/>
        <v/>
      </c>
      <c r="Q19" s="11" t="str">
        <f t="shared" si="3"/>
        <v/>
      </c>
    </row>
    <row r="20" spans="1:17" x14ac:dyDescent="0.25">
      <c r="A20">
        <v>1919</v>
      </c>
      <c r="N20" s="11" t="str">
        <f t="shared" si="0"/>
        <v/>
      </c>
      <c r="O20" s="11" t="str">
        <f t="shared" si="1"/>
        <v/>
      </c>
      <c r="P20" s="11" t="str">
        <f t="shared" si="2"/>
        <v/>
      </c>
      <c r="Q20" s="11" t="str">
        <f t="shared" si="3"/>
        <v/>
      </c>
    </row>
    <row r="21" spans="1:17" x14ac:dyDescent="0.25">
      <c r="A21">
        <v>1920</v>
      </c>
      <c r="N21" s="11" t="str">
        <f t="shared" si="0"/>
        <v/>
      </c>
      <c r="O21" s="11" t="str">
        <f t="shared" si="1"/>
        <v/>
      </c>
      <c r="P21" s="11" t="str">
        <f t="shared" si="2"/>
        <v/>
      </c>
      <c r="Q21" s="11" t="str">
        <f t="shared" si="3"/>
        <v/>
      </c>
    </row>
    <row r="22" spans="1:17" x14ac:dyDescent="0.25">
      <c r="A22">
        <v>1921</v>
      </c>
      <c r="N22" s="11" t="str">
        <f t="shared" si="0"/>
        <v/>
      </c>
      <c r="O22" s="11" t="str">
        <f t="shared" si="1"/>
        <v/>
      </c>
      <c r="P22" s="11" t="str">
        <f t="shared" si="2"/>
        <v/>
      </c>
      <c r="Q22" s="11" t="str">
        <f t="shared" si="3"/>
        <v/>
      </c>
    </row>
    <row r="23" spans="1:17" x14ac:dyDescent="0.25">
      <c r="A23">
        <v>1922</v>
      </c>
      <c r="N23" s="11" t="str">
        <f t="shared" si="0"/>
        <v/>
      </c>
      <c r="O23" s="11" t="str">
        <f t="shared" si="1"/>
        <v/>
      </c>
      <c r="P23" s="11" t="str">
        <f t="shared" si="2"/>
        <v/>
      </c>
      <c r="Q23" s="11" t="str">
        <f t="shared" si="3"/>
        <v/>
      </c>
    </row>
    <row r="24" spans="1:17" x14ac:dyDescent="0.25">
      <c r="A24">
        <v>1923</v>
      </c>
      <c r="N24" s="11" t="str">
        <f t="shared" si="0"/>
        <v/>
      </c>
      <c r="O24" s="11" t="str">
        <f t="shared" si="1"/>
        <v/>
      </c>
      <c r="P24" s="11" t="str">
        <f t="shared" si="2"/>
        <v/>
      </c>
      <c r="Q24" s="11" t="str">
        <f t="shared" si="3"/>
        <v/>
      </c>
    </row>
    <row r="25" spans="1:17" x14ac:dyDescent="0.25">
      <c r="A25">
        <v>1924</v>
      </c>
      <c r="N25" s="11" t="str">
        <f t="shared" si="0"/>
        <v/>
      </c>
      <c r="O25" s="11" t="str">
        <f t="shared" si="1"/>
        <v/>
      </c>
      <c r="P25" s="11" t="str">
        <f t="shared" si="2"/>
        <v/>
      </c>
      <c r="Q25" s="11" t="str">
        <f t="shared" si="3"/>
        <v/>
      </c>
    </row>
    <row r="26" spans="1:17" x14ac:dyDescent="0.25">
      <c r="A26">
        <v>1925</v>
      </c>
      <c r="N26" s="11" t="str">
        <f t="shared" si="0"/>
        <v/>
      </c>
      <c r="O26" s="11" t="str">
        <f t="shared" si="1"/>
        <v/>
      </c>
      <c r="P26" s="11" t="str">
        <f t="shared" si="2"/>
        <v/>
      </c>
      <c r="Q26" s="11" t="str">
        <f t="shared" si="3"/>
        <v/>
      </c>
    </row>
    <row r="27" spans="1:17" x14ac:dyDescent="0.25">
      <c r="A27">
        <v>1926</v>
      </c>
      <c r="N27" s="11" t="str">
        <f t="shared" si="0"/>
        <v/>
      </c>
      <c r="O27" s="11" t="str">
        <f t="shared" si="1"/>
        <v/>
      </c>
      <c r="P27" s="11" t="str">
        <f t="shared" si="2"/>
        <v/>
      </c>
      <c r="Q27" s="11" t="str">
        <f t="shared" si="3"/>
        <v/>
      </c>
    </row>
    <row r="28" spans="1:17" x14ac:dyDescent="0.25">
      <c r="A28">
        <v>1927</v>
      </c>
      <c r="N28" s="11" t="str">
        <f t="shared" si="0"/>
        <v/>
      </c>
      <c r="O28" s="11" t="str">
        <f t="shared" si="1"/>
        <v/>
      </c>
      <c r="P28" s="11" t="str">
        <f t="shared" si="2"/>
        <v/>
      </c>
      <c r="Q28" s="11" t="str">
        <f t="shared" si="3"/>
        <v/>
      </c>
    </row>
    <row r="29" spans="1:17" x14ac:dyDescent="0.25">
      <c r="A29">
        <v>1928</v>
      </c>
      <c r="N29" s="11" t="str">
        <f t="shared" si="0"/>
        <v/>
      </c>
      <c r="O29" s="11" t="str">
        <f t="shared" si="1"/>
        <v/>
      </c>
      <c r="P29" s="11" t="str">
        <f t="shared" si="2"/>
        <v/>
      </c>
      <c r="Q29" s="11" t="str">
        <f t="shared" si="3"/>
        <v/>
      </c>
    </row>
    <row r="30" spans="1:17" x14ac:dyDescent="0.25">
      <c r="A30">
        <v>1929</v>
      </c>
      <c r="N30" s="11" t="str">
        <f t="shared" si="0"/>
        <v/>
      </c>
      <c r="O30" s="11" t="str">
        <f t="shared" si="1"/>
        <v/>
      </c>
      <c r="P30" s="11" t="str">
        <f t="shared" si="2"/>
        <v/>
      </c>
      <c r="Q30" s="11" t="str">
        <f t="shared" si="3"/>
        <v/>
      </c>
    </row>
    <row r="31" spans="1:17" x14ac:dyDescent="0.25">
      <c r="A31">
        <v>1930</v>
      </c>
      <c r="N31" s="11" t="str">
        <f t="shared" si="0"/>
        <v/>
      </c>
      <c r="O31" s="11" t="str">
        <f t="shared" si="1"/>
        <v/>
      </c>
      <c r="P31" s="11" t="str">
        <f t="shared" si="2"/>
        <v/>
      </c>
      <c r="Q31" s="11" t="str">
        <f t="shared" si="3"/>
        <v/>
      </c>
    </row>
    <row r="32" spans="1:17" x14ac:dyDescent="0.25">
      <c r="A32">
        <v>1931</v>
      </c>
      <c r="B32">
        <v>22</v>
      </c>
      <c r="C32">
        <v>2</v>
      </c>
      <c r="D32">
        <v>17</v>
      </c>
      <c r="E32">
        <v>50</v>
      </c>
      <c r="F32">
        <v>92</v>
      </c>
      <c r="G32">
        <v>104</v>
      </c>
      <c r="H32">
        <v>145</v>
      </c>
      <c r="I32">
        <v>135</v>
      </c>
      <c r="J32">
        <v>54</v>
      </c>
      <c r="K32">
        <v>67</v>
      </c>
      <c r="L32">
        <v>21</v>
      </c>
      <c r="M32">
        <v>3</v>
      </c>
      <c r="N32" s="11">
        <f t="shared" si="0"/>
        <v>159</v>
      </c>
      <c r="O32" s="11">
        <f t="shared" si="1"/>
        <v>384</v>
      </c>
      <c r="P32" s="11">
        <f t="shared" si="2"/>
        <v>142</v>
      </c>
      <c r="Q32" s="11">
        <f t="shared" si="3"/>
        <v>24</v>
      </c>
    </row>
    <row r="33" spans="1:17" x14ac:dyDescent="0.25">
      <c r="A33">
        <v>1932</v>
      </c>
      <c r="B33">
        <v>8</v>
      </c>
      <c r="C33">
        <v>13</v>
      </c>
      <c r="D33">
        <v>64</v>
      </c>
      <c r="E33">
        <v>246</v>
      </c>
      <c r="F33">
        <v>75</v>
      </c>
      <c r="G33">
        <v>304</v>
      </c>
      <c r="H33">
        <v>267</v>
      </c>
      <c r="I33">
        <v>160</v>
      </c>
      <c r="J33">
        <v>95</v>
      </c>
      <c r="K33">
        <v>90</v>
      </c>
      <c r="L33">
        <v>13</v>
      </c>
      <c r="M33">
        <v>10</v>
      </c>
      <c r="N33" s="11">
        <f t="shared" si="0"/>
        <v>385</v>
      </c>
      <c r="O33" s="11">
        <f t="shared" si="1"/>
        <v>731</v>
      </c>
      <c r="P33" s="11">
        <f t="shared" si="2"/>
        <v>198</v>
      </c>
      <c r="Q33" s="11">
        <f t="shared" si="3"/>
        <v>122</v>
      </c>
    </row>
    <row r="34" spans="1:17" x14ac:dyDescent="0.25">
      <c r="A34">
        <v>1933</v>
      </c>
      <c r="B34">
        <v>101</v>
      </c>
      <c r="C34">
        <v>11</v>
      </c>
      <c r="D34">
        <v>106</v>
      </c>
      <c r="E34">
        <v>75</v>
      </c>
      <c r="F34">
        <v>119</v>
      </c>
      <c r="G34">
        <v>196</v>
      </c>
      <c r="H34">
        <v>190</v>
      </c>
      <c r="I34">
        <v>168</v>
      </c>
      <c r="J34">
        <v>23</v>
      </c>
      <c r="K34">
        <v>44</v>
      </c>
      <c r="L34">
        <v>39</v>
      </c>
      <c r="M34">
        <v>81</v>
      </c>
      <c r="N34" s="11">
        <f t="shared" si="0"/>
        <v>300</v>
      </c>
      <c r="O34" s="11">
        <f t="shared" si="1"/>
        <v>554</v>
      </c>
      <c r="P34" s="11">
        <f t="shared" si="2"/>
        <v>106</v>
      </c>
      <c r="Q34" s="11">
        <f t="shared" si="3"/>
        <v>119</v>
      </c>
    </row>
    <row r="35" spans="1:17" x14ac:dyDescent="0.25">
      <c r="A35">
        <v>1934</v>
      </c>
      <c r="B35">
        <v>10</v>
      </c>
      <c r="C35">
        <v>28</v>
      </c>
      <c r="D35">
        <v>69</v>
      </c>
      <c r="E35">
        <v>41</v>
      </c>
      <c r="F35">
        <v>208</v>
      </c>
      <c r="G35">
        <v>214</v>
      </c>
      <c r="H35">
        <v>149</v>
      </c>
      <c r="I35">
        <v>85</v>
      </c>
      <c r="J35">
        <v>72</v>
      </c>
      <c r="K35">
        <v>42</v>
      </c>
      <c r="L35">
        <v>1</v>
      </c>
      <c r="M35">
        <v>0</v>
      </c>
      <c r="N35" s="11">
        <f t="shared" ref="N35:N66" si="4">IF(AND(ISNUMBER(D35),ISNUMBER(E35),ISNUMBER(F35)),SUM(D35:F35),"")</f>
        <v>318</v>
      </c>
      <c r="O35" s="11">
        <f t="shared" ref="O35:O66" si="5">IF(AND(ISNUMBER(G35),ISNUMBER(H35),ISNUMBER(I35)),SUM(G35:I35),"")</f>
        <v>448</v>
      </c>
      <c r="P35" s="11">
        <f t="shared" ref="P35:P66" si="6">IF(AND(ISNUMBER(J35),ISNUMBER(K35),ISNUMBER(L35)),SUM(J35:L35),"")</f>
        <v>115</v>
      </c>
      <c r="Q35" s="11">
        <f t="shared" ref="Q35:Q66" si="7">IF(AND(ISNUMBER(M35),ISNUMBER(B36),ISNUMBER(C36)),SUM(M35,B36:C36),"")</f>
        <v>54</v>
      </c>
    </row>
    <row r="36" spans="1:17" x14ac:dyDescent="0.25">
      <c r="A36">
        <v>1935</v>
      </c>
      <c r="B36">
        <v>22</v>
      </c>
      <c r="C36">
        <v>32</v>
      </c>
      <c r="D36">
        <v>83</v>
      </c>
      <c r="E36">
        <v>34</v>
      </c>
      <c r="F36">
        <v>203</v>
      </c>
      <c r="G36">
        <v>280</v>
      </c>
      <c r="H36">
        <v>68</v>
      </c>
      <c r="I36">
        <v>70</v>
      </c>
      <c r="J36">
        <v>87</v>
      </c>
      <c r="K36">
        <v>40</v>
      </c>
      <c r="L36">
        <v>76</v>
      </c>
      <c r="M36">
        <v>38</v>
      </c>
      <c r="N36" s="11">
        <f t="shared" si="4"/>
        <v>320</v>
      </c>
      <c r="O36" s="11">
        <f t="shared" si="5"/>
        <v>418</v>
      </c>
      <c r="P36" s="11">
        <f t="shared" si="6"/>
        <v>203</v>
      </c>
      <c r="Q36" s="11">
        <f t="shared" si="7"/>
        <v>97</v>
      </c>
    </row>
    <row r="37" spans="1:17" x14ac:dyDescent="0.25">
      <c r="A37">
        <v>1936</v>
      </c>
      <c r="B37">
        <v>40</v>
      </c>
      <c r="C37">
        <v>19</v>
      </c>
      <c r="D37">
        <v>46</v>
      </c>
      <c r="E37">
        <v>97</v>
      </c>
      <c r="F37">
        <v>178</v>
      </c>
      <c r="G37">
        <v>181</v>
      </c>
      <c r="H37">
        <v>164</v>
      </c>
      <c r="I37">
        <v>77</v>
      </c>
      <c r="J37">
        <v>86</v>
      </c>
      <c r="K37">
        <v>41</v>
      </c>
      <c r="L37">
        <v>9</v>
      </c>
      <c r="M37">
        <v>87</v>
      </c>
      <c r="N37" s="11">
        <f t="shared" si="4"/>
        <v>321</v>
      </c>
      <c r="O37" s="11">
        <f t="shared" si="5"/>
        <v>422</v>
      </c>
      <c r="P37" s="11">
        <f t="shared" si="6"/>
        <v>136</v>
      </c>
      <c r="Q37" s="11">
        <f t="shared" si="7"/>
        <v>189</v>
      </c>
    </row>
    <row r="38" spans="1:17" x14ac:dyDescent="0.25">
      <c r="A38">
        <v>1937</v>
      </c>
      <c r="B38">
        <v>22</v>
      </c>
      <c r="C38">
        <v>80</v>
      </c>
      <c r="D38">
        <v>35</v>
      </c>
      <c r="E38">
        <v>33</v>
      </c>
      <c r="F38">
        <v>106</v>
      </c>
      <c r="G38">
        <v>335</v>
      </c>
      <c r="H38">
        <v>184</v>
      </c>
      <c r="I38">
        <v>164</v>
      </c>
      <c r="J38">
        <v>20</v>
      </c>
      <c r="K38">
        <v>6</v>
      </c>
      <c r="L38">
        <v>42</v>
      </c>
      <c r="M38">
        <v>23</v>
      </c>
      <c r="N38" s="11">
        <f t="shared" si="4"/>
        <v>174</v>
      </c>
      <c r="O38" s="11">
        <f t="shared" si="5"/>
        <v>683</v>
      </c>
      <c r="P38" s="11">
        <f t="shared" si="6"/>
        <v>68</v>
      </c>
      <c r="Q38" s="11">
        <f t="shared" si="7"/>
        <v>47</v>
      </c>
    </row>
    <row r="39" spans="1:17" x14ac:dyDescent="0.25">
      <c r="A39">
        <v>1938</v>
      </c>
      <c r="B39">
        <v>23</v>
      </c>
      <c r="C39">
        <v>1</v>
      </c>
      <c r="D39">
        <v>125</v>
      </c>
      <c r="E39">
        <v>36</v>
      </c>
      <c r="F39">
        <v>127</v>
      </c>
      <c r="G39">
        <v>252</v>
      </c>
      <c r="H39">
        <v>156</v>
      </c>
      <c r="I39">
        <v>115</v>
      </c>
      <c r="J39">
        <v>102</v>
      </c>
      <c r="K39">
        <v>102</v>
      </c>
      <c r="L39">
        <v>121</v>
      </c>
      <c r="M39">
        <v>5</v>
      </c>
      <c r="N39" s="11">
        <f t="shared" si="4"/>
        <v>288</v>
      </c>
      <c r="O39" s="11">
        <f t="shared" si="5"/>
        <v>523</v>
      </c>
      <c r="P39" s="11">
        <f t="shared" si="6"/>
        <v>325</v>
      </c>
      <c r="Q39" s="11">
        <f t="shared" si="7"/>
        <v>126</v>
      </c>
    </row>
    <row r="40" spans="1:17" x14ac:dyDescent="0.25">
      <c r="A40">
        <v>1939</v>
      </c>
      <c r="B40">
        <v>15</v>
      </c>
      <c r="C40">
        <v>106</v>
      </c>
      <c r="D40">
        <v>8</v>
      </c>
      <c r="E40">
        <v>22</v>
      </c>
      <c r="F40">
        <v>232</v>
      </c>
      <c r="G40">
        <v>222</v>
      </c>
      <c r="H40">
        <v>126</v>
      </c>
      <c r="I40">
        <v>187</v>
      </c>
      <c r="J40">
        <v>70</v>
      </c>
      <c r="K40">
        <v>63</v>
      </c>
      <c r="L40">
        <v>12</v>
      </c>
      <c r="M40">
        <v>6</v>
      </c>
      <c r="N40" s="11">
        <f t="shared" si="4"/>
        <v>262</v>
      </c>
      <c r="O40" s="11">
        <f t="shared" si="5"/>
        <v>535</v>
      </c>
      <c r="P40" s="11">
        <f t="shared" si="6"/>
        <v>145</v>
      </c>
      <c r="Q40" s="11">
        <f t="shared" si="7"/>
        <v>82</v>
      </c>
    </row>
    <row r="41" spans="1:17" x14ac:dyDescent="0.25">
      <c r="A41">
        <v>1940</v>
      </c>
      <c r="B41">
        <v>40</v>
      </c>
      <c r="C41">
        <v>36</v>
      </c>
      <c r="D41">
        <v>16</v>
      </c>
      <c r="E41">
        <v>191</v>
      </c>
      <c r="F41">
        <v>261</v>
      </c>
      <c r="G41">
        <v>170</v>
      </c>
      <c r="H41">
        <v>240</v>
      </c>
      <c r="I41">
        <v>30</v>
      </c>
      <c r="J41">
        <v>20</v>
      </c>
      <c r="K41">
        <v>24</v>
      </c>
      <c r="L41">
        <v>48</v>
      </c>
      <c r="M41">
        <v>98</v>
      </c>
      <c r="N41" s="11">
        <f t="shared" si="4"/>
        <v>468</v>
      </c>
      <c r="O41" s="11">
        <f t="shared" si="5"/>
        <v>440</v>
      </c>
      <c r="P41" s="11">
        <f t="shared" si="6"/>
        <v>92</v>
      </c>
      <c r="Q41" s="11">
        <f t="shared" si="7"/>
        <v>121</v>
      </c>
    </row>
    <row r="42" spans="1:17" x14ac:dyDescent="0.25">
      <c r="A42">
        <v>1941</v>
      </c>
      <c r="B42">
        <v>2</v>
      </c>
      <c r="C42">
        <v>21</v>
      </c>
      <c r="D42">
        <v>48</v>
      </c>
      <c r="E42">
        <v>84</v>
      </c>
      <c r="F42">
        <v>110</v>
      </c>
      <c r="G42">
        <v>145</v>
      </c>
      <c r="H42">
        <v>197</v>
      </c>
      <c r="I42">
        <v>201</v>
      </c>
      <c r="J42">
        <v>35</v>
      </c>
      <c r="K42">
        <v>67</v>
      </c>
      <c r="L42">
        <v>98</v>
      </c>
      <c r="M42">
        <v>103</v>
      </c>
      <c r="N42" s="11">
        <f t="shared" si="4"/>
        <v>242</v>
      </c>
      <c r="O42" s="11">
        <f t="shared" si="5"/>
        <v>543</v>
      </c>
      <c r="P42" s="11">
        <f t="shared" si="6"/>
        <v>200</v>
      </c>
      <c r="Q42" s="11">
        <f t="shared" si="7"/>
        <v>170</v>
      </c>
    </row>
    <row r="43" spans="1:17" x14ac:dyDescent="0.25">
      <c r="A43">
        <v>1942</v>
      </c>
      <c r="B43">
        <v>16</v>
      </c>
      <c r="C43">
        <v>51</v>
      </c>
      <c r="D43">
        <v>53</v>
      </c>
      <c r="E43">
        <v>50</v>
      </c>
      <c r="F43">
        <v>118</v>
      </c>
      <c r="G43">
        <v>65</v>
      </c>
      <c r="H43">
        <v>112</v>
      </c>
      <c r="I43">
        <v>97</v>
      </c>
      <c r="J43">
        <v>94</v>
      </c>
      <c r="K43">
        <v>46</v>
      </c>
      <c r="L43">
        <v>23</v>
      </c>
      <c r="M43">
        <v>20</v>
      </c>
      <c r="N43" s="11">
        <f t="shared" si="4"/>
        <v>221</v>
      </c>
      <c r="O43" s="11">
        <f t="shared" si="5"/>
        <v>274</v>
      </c>
      <c r="P43" s="11">
        <f t="shared" si="6"/>
        <v>163</v>
      </c>
      <c r="Q43" s="11">
        <f t="shared" si="7"/>
        <v>46</v>
      </c>
    </row>
    <row r="44" spans="1:17" x14ac:dyDescent="0.25">
      <c r="A44">
        <v>1943</v>
      </c>
      <c r="B44">
        <v>0</v>
      </c>
      <c r="C44">
        <v>26</v>
      </c>
      <c r="D44">
        <v>54</v>
      </c>
      <c r="E44">
        <v>37</v>
      </c>
      <c r="F44">
        <v>96</v>
      </c>
      <c r="G44">
        <v>4</v>
      </c>
      <c r="H44">
        <v>214</v>
      </c>
      <c r="I44">
        <v>45</v>
      </c>
      <c r="J44">
        <v>102</v>
      </c>
      <c r="K44">
        <v>39</v>
      </c>
      <c r="L44">
        <v>16</v>
      </c>
      <c r="M44">
        <v>2</v>
      </c>
      <c r="N44" s="11">
        <f t="shared" si="4"/>
        <v>187</v>
      </c>
      <c r="O44" s="11">
        <f t="shared" si="5"/>
        <v>263</v>
      </c>
      <c r="P44" s="11">
        <f t="shared" si="6"/>
        <v>157</v>
      </c>
      <c r="Q44" s="11">
        <f t="shared" si="7"/>
        <v>38</v>
      </c>
    </row>
    <row r="45" spans="1:17" x14ac:dyDescent="0.25">
      <c r="A45">
        <v>1944</v>
      </c>
      <c r="B45">
        <v>32</v>
      </c>
      <c r="C45">
        <v>4</v>
      </c>
      <c r="D45">
        <v>39</v>
      </c>
      <c r="E45">
        <v>67</v>
      </c>
      <c r="F45">
        <v>141</v>
      </c>
      <c r="G45">
        <v>366</v>
      </c>
      <c r="H45">
        <v>230</v>
      </c>
      <c r="I45">
        <v>316</v>
      </c>
      <c r="J45">
        <v>80</v>
      </c>
      <c r="K45">
        <v>156</v>
      </c>
      <c r="L45">
        <v>18</v>
      </c>
      <c r="M45">
        <v>2</v>
      </c>
      <c r="N45" s="11">
        <f t="shared" si="4"/>
        <v>247</v>
      </c>
      <c r="O45" s="11">
        <f t="shared" si="5"/>
        <v>912</v>
      </c>
      <c r="P45" s="11">
        <f t="shared" si="6"/>
        <v>254</v>
      </c>
      <c r="Q45" s="11">
        <f t="shared" si="7"/>
        <v>29</v>
      </c>
    </row>
    <row r="46" spans="1:17" x14ac:dyDescent="0.25">
      <c r="A46">
        <v>1945</v>
      </c>
      <c r="B46">
        <v>19</v>
      </c>
      <c r="C46">
        <v>8</v>
      </c>
      <c r="D46">
        <v>132</v>
      </c>
      <c r="E46">
        <v>76</v>
      </c>
      <c r="F46">
        <v>341</v>
      </c>
      <c r="G46">
        <v>156</v>
      </c>
      <c r="H46">
        <v>271</v>
      </c>
      <c r="I46">
        <v>235</v>
      </c>
      <c r="J46">
        <v>63</v>
      </c>
      <c r="K46">
        <v>27</v>
      </c>
      <c r="L46">
        <v>102</v>
      </c>
      <c r="M46">
        <v>48</v>
      </c>
      <c r="N46" s="11">
        <f t="shared" si="4"/>
        <v>549</v>
      </c>
      <c r="O46" s="11">
        <f t="shared" si="5"/>
        <v>662</v>
      </c>
      <c r="P46" s="11">
        <f t="shared" si="6"/>
        <v>192</v>
      </c>
      <c r="Q46" s="11">
        <f t="shared" si="7"/>
        <v>127</v>
      </c>
    </row>
    <row r="47" spans="1:17" x14ac:dyDescent="0.25">
      <c r="A47">
        <v>1946</v>
      </c>
      <c r="B47">
        <v>36</v>
      </c>
      <c r="C47">
        <v>43</v>
      </c>
      <c r="D47">
        <v>15</v>
      </c>
      <c r="E47">
        <v>38</v>
      </c>
      <c r="F47">
        <v>110</v>
      </c>
      <c r="G47">
        <v>57</v>
      </c>
      <c r="H47">
        <v>184</v>
      </c>
      <c r="I47">
        <v>58</v>
      </c>
      <c r="J47">
        <v>201</v>
      </c>
      <c r="K47">
        <v>61</v>
      </c>
      <c r="L47">
        <v>156</v>
      </c>
      <c r="M47">
        <v>26</v>
      </c>
      <c r="N47" s="11">
        <f t="shared" si="4"/>
        <v>163</v>
      </c>
      <c r="O47" s="11">
        <f t="shared" si="5"/>
        <v>299</v>
      </c>
      <c r="P47" s="11">
        <f t="shared" si="6"/>
        <v>418</v>
      </c>
      <c r="Q47" s="11">
        <f t="shared" si="7"/>
        <v>100</v>
      </c>
    </row>
    <row r="48" spans="1:17" x14ac:dyDescent="0.25">
      <c r="A48">
        <v>1947</v>
      </c>
      <c r="B48">
        <v>66</v>
      </c>
      <c r="C48">
        <v>8</v>
      </c>
      <c r="D48">
        <v>11</v>
      </c>
      <c r="E48">
        <v>26</v>
      </c>
      <c r="F48">
        <v>211</v>
      </c>
      <c r="G48">
        <v>206</v>
      </c>
      <c r="H48">
        <v>34</v>
      </c>
      <c r="I48">
        <v>109</v>
      </c>
      <c r="J48">
        <v>72</v>
      </c>
      <c r="K48">
        <v>12</v>
      </c>
      <c r="L48">
        <v>15</v>
      </c>
      <c r="M48">
        <v>48</v>
      </c>
      <c r="N48" s="11">
        <f t="shared" si="4"/>
        <v>248</v>
      </c>
      <c r="O48" s="11">
        <f t="shared" si="5"/>
        <v>349</v>
      </c>
      <c r="P48" s="11">
        <f t="shared" si="6"/>
        <v>99</v>
      </c>
      <c r="Q48" s="11">
        <f t="shared" si="7"/>
        <v>110</v>
      </c>
    </row>
    <row r="49" spans="1:17" x14ac:dyDescent="0.25">
      <c r="A49">
        <v>1948</v>
      </c>
      <c r="B49">
        <v>52</v>
      </c>
      <c r="C49">
        <v>10</v>
      </c>
      <c r="D49">
        <v>16</v>
      </c>
      <c r="E49">
        <v>81</v>
      </c>
      <c r="F49">
        <v>50</v>
      </c>
      <c r="G49">
        <v>214</v>
      </c>
      <c r="H49">
        <v>228</v>
      </c>
      <c r="I49">
        <v>66</v>
      </c>
      <c r="J49">
        <v>113</v>
      </c>
      <c r="K49">
        <v>17</v>
      </c>
      <c r="L49">
        <v>20</v>
      </c>
      <c r="M49">
        <v>65</v>
      </c>
      <c r="N49" s="11">
        <f t="shared" si="4"/>
        <v>147</v>
      </c>
      <c r="O49" s="11">
        <f t="shared" si="5"/>
        <v>508</v>
      </c>
      <c r="P49" s="11">
        <f t="shared" si="6"/>
        <v>150</v>
      </c>
      <c r="Q49" s="11">
        <f t="shared" si="7"/>
        <v>237</v>
      </c>
    </row>
    <row r="50" spans="1:17" x14ac:dyDescent="0.25">
      <c r="A50">
        <v>1949</v>
      </c>
      <c r="B50">
        <v>34</v>
      </c>
      <c r="C50">
        <v>138</v>
      </c>
      <c r="D50">
        <v>170</v>
      </c>
      <c r="E50">
        <v>72</v>
      </c>
      <c r="F50">
        <v>451</v>
      </c>
      <c r="G50">
        <v>337</v>
      </c>
      <c r="H50">
        <v>66</v>
      </c>
      <c r="I50">
        <v>35</v>
      </c>
      <c r="J50">
        <v>15</v>
      </c>
      <c r="K50">
        <v>8</v>
      </c>
      <c r="L50">
        <v>15</v>
      </c>
      <c r="M50">
        <v>70</v>
      </c>
      <c r="N50" s="11">
        <f t="shared" si="4"/>
        <v>693</v>
      </c>
      <c r="O50" s="11">
        <f t="shared" si="5"/>
        <v>438</v>
      </c>
      <c r="P50" s="11">
        <f t="shared" si="6"/>
        <v>38</v>
      </c>
      <c r="Q50" s="11">
        <f t="shared" si="7"/>
        <v>82</v>
      </c>
    </row>
    <row r="51" spans="1:17" x14ac:dyDescent="0.25">
      <c r="A51">
        <v>1950</v>
      </c>
      <c r="B51">
        <v>1</v>
      </c>
      <c r="C51">
        <v>11</v>
      </c>
      <c r="D51">
        <v>34</v>
      </c>
      <c r="E51">
        <v>92</v>
      </c>
      <c r="F51">
        <v>187</v>
      </c>
      <c r="G51">
        <v>267</v>
      </c>
      <c r="H51">
        <v>198</v>
      </c>
      <c r="I51">
        <v>219</v>
      </c>
      <c r="J51">
        <v>86</v>
      </c>
      <c r="K51">
        <v>45</v>
      </c>
      <c r="L51">
        <v>32</v>
      </c>
      <c r="M51">
        <v>42</v>
      </c>
      <c r="N51" s="11">
        <f t="shared" si="4"/>
        <v>313</v>
      </c>
      <c r="O51" s="11">
        <f t="shared" si="5"/>
        <v>684</v>
      </c>
      <c r="P51" s="11">
        <f t="shared" si="6"/>
        <v>163</v>
      </c>
      <c r="Q51" s="11">
        <f t="shared" si="7"/>
        <v>119</v>
      </c>
    </row>
    <row r="52" spans="1:17" x14ac:dyDescent="0.25">
      <c r="A52">
        <v>1951</v>
      </c>
      <c r="B52">
        <v>66</v>
      </c>
      <c r="C52">
        <v>11</v>
      </c>
      <c r="D52">
        <v>10</v>
      </c>
      <c r="E52">
        <v>16</v>
      </c>
      <c r="F52">
        <v>290</v>
      </c>
      <c r="G52">
        <v>121</v>
      </c>
      <c r="H52">
        <v>145</v>
      </c>
      <c r="I52">
        <v>85</v>
      </c>
      <c r="J52">
        <v>92</v>
      </c>
      <c r="K52">
        <v>18</v>
      </c>
      <c r="L52">
        <v>24</v>
      </c>
      <c r="M52">
        <v>19</v>
      </c>
      <c r="N52" s="11">
        <f t="shared" si="4"/>
        <v>316</v>
      </c>
      <c r="O52" s="11">
        <f t="shared" si="5"/>
        <v>351</v>
      </c>
      <c r="P52" s="11">
        <f t="shared" si="6"/>
        <v>134</v>
      </c>
      <c r="Q52" s="11">
        <f t="shared" si="7"/>
        <v>47</v>
      </c>
    </row>
    <row r="53" spans="1:17" x14ac:dyDescent="0.25">
      <c r="A53">
        <v>1952</v>
      </c>
      <c r="B53">
        <v>10</v>
      </c>
      <c r="C53">
        <v>18</v>
      </c>
      <c r="D53">
        <v>127</v>
      </c>
      <c r="E53">
        <v>18</v>
      </c>
      <c r="F53">
        <v>152</v>
      </c>
      <c r="G53">
        <v>52</v>
      </c>
      <c r="H53">
        <v>66</v>
      </c>
      <c r="I53">
        <v>52</v>
      </c>
      <c r="J53">
        <v>28</v>
      </c>
      <c r="K53">
        <v>10</v>
      </c>
      <c r="L53">
        <v>13</v>
      </c>
      <c r="M53">
        <v>1</v>
      </c>
      <c r="N53" s="11">
        <f t="shared" si="4"/>
        <v>297</v>
      </c>
      <c r="O53" s="11">
        <f t="shared" si="5"/>
        <v>170</v>
      </c>
      <c r="P53" s="11">
        <f t="shared" si="6"/>
        <v>51</v>
      </c>
      <c r="Q53" s="11">
        <f t="shared" si="7"/>
        <v>126</v>
      </c>
    </row>
    <row r="54" spans="1:17" x14ac:dyDescent="0.25">
      <c r="A54">
        <v>1953</v>
      </c>
      <c r="B54">
        <v>113</v>
      </c>
      <c r="C54">
        <v>12</v>
      </c>
      <c r="D54">
        <v>18</v>
      </c>
      <c r="E54">
        <v>10</v>
      </c>
      <c r="F54">
        <v>222</v>
      </c>
      <c r="G54">
        <v>48</v>
      </c>
      <c r="H54">
        <v>202</v>
      </c>
      <c r="I54">
        <v>189</v>
      </c>
      <c r="J54">
        <v>100</v>
      </c>
      <c r="K54">
        <v>24</v>
      </c>
      <c r="L54">
        <v>3</v>
      </c>
      <c r="M54">
        <v>2</v>
      </c>
      <c r="N54" s="11">
        <f t="shared" si="4"/>
        <v>250</v>
      </c>
      <c r="O54" s="11">
        <f t="shared" si="5"/>
        <v>439</v>
      </c>
      <c r="P54" s="11">
        <f t="shared" si="6"/>
        <v>127</v>
      </c>
      <c r="Q54" s="11">
        <f t="shared" si="7"/>
        <v>13</v>
      </c>
    </row>
    <row r="55" spans="1:17" x14ac:dyDescent="0.25">
      <c r="A55">
        <v>1954</v>
      </c>
      <c r="B55">
        <v>0</v>
      </c>
      <c r="C55">
        <v>11</v>
      </c>
      <c r="D55">
        <v>2</v>
      </c>
      <c r="E55">
        <v>44</v>
      </c>
      <c r="F55">
        <v>94</v>
      </c>
      <c r="G55">
        <v>78</v>
      </c>
      <c r="H55">
        <v>151</v>
      </c>
      <c r="I55">
        <v>160</v>
      </c>
      <c r="J55">
        <v>69</v>
      </c>
      <c r="K55">
        <v>17</v>
      </c>
      <c r="L55">
        <v>8</v>
      </c>
      <c r="M55">
        <v>28</v>
      </c>
      <c r="N55" s="11">
        <f t="shared" si="4"/>
        <v>140</v>
      </c>
      <c r="O55" s="11">
        <f t="shared" si="5"/>
        <v>389</v>
      </c>
      <c r="P55" s="11">
        <f t="shared" si="6"/>
        <v>94</v>
      </c>
      <c r="Q55" s="11">
        <f t="shared" si="7"/>
        <v>78</v>
      </c>
    </row>
    <row r="56" spans="1:17" x14ac:dyDescent="0.25">
      <c r="A56">
        <v>1955</v>
      </c>
      <c r="B56">
        <v>33</v>
      </c>
      <c r="C56">
        <v>17</v>
      </c>
      <c r="D56">
        <v>10</v>
      </c>
      <c r="E56">
        <v>88</v>
      </c>
      <c r="F56">
        <v>38</v>
      </c>
      <c r="G56">
        <v>143</v>
      </c>
      <c r="H56">
        <v>109</v>
      </c>
      <c r="I56">
        <v>63</v>
      </c>
      <c r="J56">
        <v>21</v>
      </c>
      <c r="K56">
        <v>1</v>
      </c>
      <c r="L56">
        <v>9</v>
      </c>
      <c r="M56">
        <v>130</v>
      </c>
      <c r="N56" s="11">
        <f t="shared" si="4"/>
        <v>136</v>
      </c>
      <c r="O56" s="11">
        <f t="shared" si="5"/>
        <v>315</v>
      </c>
      <c r="P56" s="11">
        <f t="shared" si="6"/>
        <v>31</v>
      </c>
      <c r="Q56" s="11">
        <f t="shared" si="7"/>
        <v>225</v>
      </c>
    </row>
    <row r="57" spans="1:17" x14ac:dyDescent="0.25">
      <c r="A57">
        <v>1956</v>
      </c>
      <c r="B57">
        <v>79</v>
      </c>
      <c r="C57">
        <v>16</v>
      </c>
      <c r="D57">
        <v>18</v>
      </c>
      <c r="E57">
        <v>51</v>
      </c>
      <c r="F57">
        <v>79</v>
      </c>
      <c r="G57">
        <v>50</v>
      </c>
      <c r="H57">
        <v>94</v>
      </c>
      <c r="I57">
        <v>43</v>
      </c>
      <c r="J57">
        <v>25</v>
      </c>
      <c r="K57">
        <v>5</v>
      </c>
      <c r="L57">
        <v>10</v>
      </c>
      <c r="M57">
        <v>3</v>
      </c>
      <c r="N57" s="11">
        <f t="shared" si="4"/>
        <v>148</v>
      </c>
      <c r="O57" s="11">
        <f t="shared" si="5"/>
        <v>187</v>
      </c>
      <c r="P57" s="11">
        <f t="shared" si="6"/>
        <v>40</v>
      </c>
      <c r="Q57" s="11">
        <f t="shared" si="7"/>
        <v>15</v>
      </c>
    </row>
    <row r="58" spans="1:17" x14ac:dyDescent="0.25">
      <c r="A58">
        <v>1957</v>
      </c>
      <c r="B58">
        <v>11.4</v>
      </c>
      <c r="C58">
        <v>0.6</v>
      </c>
      <c r="D58">
        <v>6.3</v>
      </c>
      <c r="E58">
        <v>5.6</v>
      </c>
      <c r="F58">
        <v>163</v>
      </c>
      <c r="G58">
        <v>70.099999999999994</v>
      </c>
      <c r="H58">
        <v>147</v>
      </c>
      <c r="I58">
        <v>202</v>
      </c>
      <c r="J58">
        <v>17.899999999999999</v>
      </c>
      <c r="K58">
        <v>14.8</v>
      </c>
      <c r="L58">
        <v>31.5</v>
      </c>
      <c r="M58">
        <v>16.5</v>
      </c>
      <c r="N58" s="11">
        <f t="shared" si="4"/>
        <v>174.9</v>
      </c>
      <c r="O58" s="11">
        <f t="shared" si="5"/>
        <v>419.1</v>
      </c>
      <c r="P58" s="11">
        <f t="shared" si="6"/>
        <v>64.2</v>
      </c>
      <c r="Q58" s="11">
        <f t="shared" si="7"/>
        <v>42.5</v>
      </c>
    </row>
    <row r="59" spans="1:17" x14ac:dyDescent="0.25">
      <c r="A59">
        <v>1958</v>
      </c>
      <c r="B59">
        <v>5</v>
      </c>
      <c r="C59">
        <v>21</v>
      </c>
      <c r="D59">
        <v>5</v>
      </c>
      <c r="E59">
        <v>53</v>
      </c>
      <c r="F59">
        <v>187</v>
      </c>
      <c r="G59">
        <v>123</v>
      </c>
      <c r="H59">
        <v>207</v>
      </c>
      <c r="I59">
        <v>80</v>
      </c>
      <c r="J59">
        <v>30</v>
      </c>
      <c r="K59">
        <v>0</v>
      </c>
      <c r="L59">
        <v>40</v>
      </c>
      <c r="M59">
        <v>5</v>
      </c>
      <c r="N59" s="11">
        <f t="shared" si="4"/>
        <v>245</v>
      </c>
      <c r="O59" s="11">
        <f t="shared" si="5"/>
        <v>410</v>
      </c>
      <c r="P59" s="11">
        <f t="shared" si="6"/>
        <v>70</v>
      </c>
      <c r="Q59" s="11">
        <f t="shared" si="7"/>
        <v>28</v>
      </c>
    </row>
    <row r="60" spans="1:17" x14ac:dyDescent="0.25">
      <c r="A60">
        <v>1959</v>
      </c>
      <c r="B60">
        <v>13</v>
      </c>
      <c r="C60">
        <v>10</v>
      </c>
      <c r="D60">
        <v>53</v>
      </c>
      <c r="E60">
        <v>153</v>
      </c>
      <c r="F60">
        <v>115</v>
      </c>
      <c r="G60">
        <v>29</v>
      </c>
      <c r="H60">
        <v>140</v>
      </c>
      <c r="I60">
        <v>117</v>
      </c>
      <c r="J60">
        <v>103</v>
      </c>
      <c r="K60">
        <v>63</v>
      </c>
      <c r="L60">
        <v>4</v>
      </c>
      <c r="M60">
        <v>1</v>
      </c>
      <c r="N60" s="11">
        <f t="shared" si="4"/>
        <v>321</v>
      </c>
      <c r="O60" s="11">
        <f t="shared" si="5"/>
        <v>286</v>
      </c>
      <c r="P60" s="11">
        <f t="shared" si="6"/>
        <v>170</v>
      </c>
      <c r="Q60" s="11">
        <f t="shared" si="7"/>
        <v>52</v>
      </c>
    </row>
    <row r="61" spans="1:17" x14ac:dyDescent="0.25">
      <c r="A61">
        <v>1960</v>
      </c>
      <c r="B61">
        <v>36</v>
      </c>
      <c r="C61">
        <v>15</v>
      </c>
      <c r="D61">
        <v>23</v>
      </c>
      <c r="E61">
        <v>82</v>
      </c>
      <c r="F61">
        <v>73</v>
      </c>
      <c r="G61">
        <v>170</v>
      </c>
      <c r="H61">
        <v>160</v>
      </c>
      <c r="I61">
        <v>54</v>
      </c>
      <c r="J61">
        <v>20</v>
      </c>
      <c r="K61">
        <v>72</v>
      </c>
      <c r="L61">
        <v>17</v>
      </c>
      <c r="M61">
        <v>18</v>
      </c>
      <c r="N61" s="11">
        <f t="shared" si="4"/>
        <v>178</v>
      </c>
      <c r="O61" s="11">
        <f t="shared" si="5"/>
        <v>384</v>
      </c>
      <c r="P61" s="11">
        <f t="shared" si="6"/>
        <v>109</v>
      </c>
      <c r="Q61" s="11">
        <f t="shared" si="7"/>
        <v>75.8</v>
      </c>
    </row>
    <row r="62" spans="1:17" x14ac:dyDescent="0.25">
      <c r="A62">
        <v>1961</v>
      </c>
      <c r="B62">
        <v>43</v>
      </c>
      <c r="C62">
        <v>14.8</v>
      </c>
      <c r="D62">
        <v>12.3</v>
      </c>
      <c r="E62">
        <v>29.5</v>
      </c>
      <c r="F62">
        <v>140</v>
      </c>
      <c r="G62">
        <v>123</v>
      </c>
      <c r="H62">
        <v>142</v>
      </c>
      <c r="I62">
        <v>110</v>
      </c>
      <c r="J62">
        <v>78.099999999999994</v>
      </c>
      <c r="K62">
        <v>17</v>
      </c>
      <c r="L62">
        <v>19.7</v>
      </c>
      <c r="M62">
        <v>0.5</v>
      </c>
      <c r="N62" s="11">
        <f t="shared" si="4"/>
        <v>181.8</v>
      </c>
      <c r="O62" s="11">
        <f t="shared" si="5"/>
        <v>375</v>
      </c>
      <c r="P62" s="11">
        <f t="shared" si="6"/>
        <v>114.8</v>
      </c>
      <c r="Q62" s="11">
        <f t="shared" si="7"/>
        <v>45.3</v>
      </c>
    </row>
    <row r="63" spans="1:17" x14ac:dyDescent="0.25">
      <c r="A63">
        <v>1962</v>
      </c>
      <c r="B63">
        <v>8</v>
      </c>
      <c r="C63">
        <v>36.799999999999997</v>
      </c>
      <c r="D63">
        <v>8</v>
      </c>
      <c r="E63">
        <v>56.9</v>
      </c>
      <c r="F63">
        <v>36.5</v>
      </c>
      <c r="G63">
        <v>99.6</v>
      </c>
      <c r="H63">
        <v>67.2</v>
      </c>
      <c r="I63">
        <v>193</v>
      </c>
      <c r="J63">
        <v>43.3</v>
      </c>
      <c r="K63">
        <v>2.1</v>
      </c>
      <c r="L63">
        <v>25.4</v>
      </c>
      <c r="M63">
        <v>35</v>
      </c>
      <c r="N63" s="11">
        <f t="shared" si="4"/>
        <v>101.4</v>
      </c>
      <c r="O63" s="11">
        <f t="shared" si="5"/>
        <v>359.8</v>
      </c>
      <c r="P63" s="11">
        <f t="shared" si="6"/>
        <v>70.8</v>
      </c>
      <c r="Q63" s="11">
        <f t="shared" si="7"/>
        <v>48.6</v>
      </c>
    </row>
    <row r="64" spans="1:17" x14ac:dyDescent="0.25">
      <c r="A64">
        <v>1963</v>
      </c>
      <c r="B64">
        <v>8.5</v>
      </c>
      <c r="C64">
        <v>5.0999999999999996</v>
      </c>
      <c r="D64">
        <v>27.5</v>
      </c>
      <c r="E64">
        <v>106</v>
      </c>
      <c r="F64">
        <v>56.8</v>
      </c>
      <c r="G64">
        <v>99.4</v>
      </c>
      <c r="H64">
        <v>43.5</v>
      </c>
      <c r="I64">
        <v>99.1</v>
      </c>
      <c r="J64">
        <v>126</v>
      </c>
      <c r="K64">
        <v>52</v>
      </c>
      <c r="L64">
        <v>26.9</v>
      </c>
      <c r="M64">
        <v>10.9</v>
      </c>
      <c r="N64" s="11">
        <f t="shared" si="4"/>
        <v>190.3</v>
      </c>
      <c r="O64" s="11">
        <f t="shared" si="5"/>
        <v>242</v>
      </c>
      <c r="P64" s="11">
        <f t="shared" si="6"/>
        <v>204.9</v>
      </c>
      <c r="Q64" s="11">
        <f t="shared" si="7"/>
        <v>45.8</v>
      </c>
    </row>
    <row r="65" spans="1:17" x14ac:dyDescent="0.25">
      <c r="A65">
        <v>1964</v>
      </c>
      <c r="B65">
        <v>4.9000000000000004</v>
      </c>
      <c r="C65">
        <v>30</v>
      </c>
      <c r="D65">
        <v>5</v>
      </c>
      <c r="E65">
        <v>101</v>
      </c>
      <c r="F65">
        <v>67.8</v>
      </c>
      <c r="G65">
        <v>74.8</v>
      </c>
      <c r="H65">
        <v>72</v>
      </c>
      <c r="I65">
        <v>150</v>
      </c>
      <c r="J65">
        <v>81.099999999999994</v>
      </c>
      <c r="K65">
        <v>40.700000000000003</v>
      </c>
      <c r="L65">
        <v>15.2</v>
      </c>
      <c r="M65">
        <v>55.4</v>
      </c>
      <c r="N65" s="11">
        <f t="shared" si="4"/>
        <v>173.8</v>
      </c>
      <c r="O65" s="11">
        <f t="shared" si="5"/>
        <v>296.8</v>
      </c>
      <c r="P65" s="11">
        <f t="shared" si="6"/>
        <v>137</v>
      </c>
      <c r="Q65" s="11">
        <f t="shared" si="7"/>
        <v>173.7</v>
      </c>
    </row>
    <row r="66" spans="1:17" x14ac:dyDescent="0.25">
      <c r="A66">
        <v>1965</v>
      </c>
      <c r="B66">
        <v>49.2</v>
      </c>
      <c r="C66">
        <v>69.099999999999994</v>
      </c>
      <c r="D66">
        <v>38.299999999999997</v>
      </c>
      <c r="E66">
        <v>63.5</v>
      </c>
      <c r="F66">
        <v>108</v>
      </c>
      <c r="G66">
        <v>252</v>
      </c>
      <c r="H66">
        <v>138</v>
      </c>
      <c r="I66">
        <v>128</v>
      </c>
      <c r="J66">
        <v>12.5</v>
      </c>
      <c r="K66">
        <v>85.4</v>
      </c>
      <c r="L66">
        <v>79.400000000000006</v>
      </c>
      <c r="M66">
        <v>24.7</v>
      </c>
      <c r="N66" s="11">
        <f t="shared" si="4"/>
        <v>209.8</v>
      </c>
      <c r="O66" s="11">
        <f t="shared" si="5"/>
        <v>518</v>
      </c>
      <c r="P66" s="11">
        <f t="shared" si="6"/>
        <v>177.3</v>
      </c>
      <c r="Q66" s="11">
        <f t="shared" si="7"/>
        <v>28.5</v>
      </c>
    </row>
    <row r="67" spans="1:17" x14ac:dyDescent="0.25">
      <c r="A67">
        <v>1966</v>
      </c>
      <c r="B67">
        <v>1.3</v>
      </c>
      <c r="C67">
        <v>2.5</v>
      </c>
      <c r="D67">
        <v>41</v>
      </c>
      <c r="E67">
        <v>62.1</v>
      </c>
      <c r="F67">
        <v>142</v>
      </c>
      <c r="G67">
        <v>148</v>
      </c>
      <c r="H67">
        <v>151</v>
      </c>
      <c r="I67">
        <v>28.4</v>
      </c>
      <c r="J67">
        <v>42.5</v>
      </c>
      <c r="K67">
        <v>23.3</v>
      </c>
      <c r="L67">
        <v>21.7</v>
      </c>
      <c r="M67">
        <v>190</v>
      </c>
      <c r="N67" s="11">
        <f t="shared" ref="N67:N98" si="8">IF(AND(ISNUMBER(D67),ISNUMBER(E67),ISNUMBER(F67)),SUM(D67:F67),"")</f>
        <v>245.1</v>
      </c>
      <c r="O67" s="11">
        <f t="shared" ref="O67:O98" si="9">IF(AND(ISNUMBER(G67),ISNUMBER(H67),ISNUMBER(I67)),SUM(G67:I67),"")</f>
        <v>327.39999999999998</v>
      </c>
      <c r="P67" s="11">
        <f t="shared" ref="P67:P98" si="10">IF(AND(ISNUMBER(J67),ISNUMBER(K67),ISNUMBER(L67)),SUM(J67:L67),"")</f>
        <v>87.5</v>
      </c>
      <c r="Q67" s="11">
        <f t="shared" ref="Q67:Q98" si="11">IF(AND(ISNUMBER(M67),ISNUMBER(B68),ISNUMBER(C68)),SUM(M67,B68:C68),"")</f>
        <v>220.70000000000002</v>
      </c>
    </row>
    <row r="68" spans="1:17" x14ac:dyDescent="0.25">
      <c r="A68">
        <v>1967</v>
      </c>
      <c r="B68">
        <v>12.3</v>
      </c>
      <c r="C68">
        <v>18.399999999999999</v>
      </c>
      <c r="D68">
        <v>46.8</v>
      </c>
      <c r="E68">
        <v>24</v>
      </c>
      <c r="F68">
        <v>213</v>
      </c>
      <c r="G68">
        <v>43.8</v>
      </c>
      <c r="H68">
        <v>140</v>
      </c>
      <c r="I68">
        <v>219</v>
      </c>
      <c r="J68">
        <v>18.600000000000001</v>
      </c>
      <c r="K68">
        <v>88.6</v>
      </c>
      <c r="L68">
        <v>12.3</v>
      </c>
      <c r="M68">
        <v>17.399999999999999</v>
      </c>
      <c r="N68" s="11">
        <f t="shared" si="8"/>
        <v>283.8</v>
      </c>
      <c r="O68" s="11">
        <f t="shared" si="9"/>
        <v>402.8</v>
      </c>
      <c r="P68" s="11">
        <f t="shared" si="10"/>
        <v>119.49999999999999</v>
      </c>
      <c r="Q68" s="11">
        <f t="shared" si="11"/>
        <v>61.6</v>
      </c>
    </row>
    <row r="69" spans="1:17" x14ac:dyDescent="0.25">
      <c r="A69">
        <v>1968</v>
      </c>
      <c r="B69">
        <v>0.6</v>
      </c>
      <c r="C69">
        <v>43.6</v>
      </c>
      <c r="D69">
        <v>20.8</v>
      </c>
      <c r="E69">
        <v>11.6</v>
      </c>
      <c r="F69">
        <v>15.9</v>
      </c>
      <c r="G69">
        <v>30.2</v>
      </c>
      <c r="H69">
        <v>91.5</v>
      </c>
      <c r="I69">
        <v>87.1</v>
      </c>
      <c r="J69">
        <v>125</v>
      </c>
      <c r="K69">
        <v>26.5</v>
      </c>
      <c r="L69">
        <v>12.1</v>
      </c>
      <c r="M69">
        <v>69.5</v>
      </c>
      <c r="N69" s="11">
        <f t="shared" si="8"/>
        <v>48.3</v>
      </c>
      <c r="O69" s="11">
        <f t="shared" si="9"/>
        <v>208.8</v>
      </c>
      <c r="P69" s="11">
        <f t="shared" si="10"/>
        <v>163.6</v>
      </c>
      <c r="Q69" s="11">
        <f t="shared" si="11"/>
        <v>99.9</v>
      </c>
    </row>
    <row r="70" spans="1:17" x14ac:dyDescent="0.25">
      <c r="A70">
        <v>1969</v>
      </c>
      <c r="B70">
        <v>5.9</v>
      </c>
      <c r="C70">
        <v>24.5</v>
      </c>
      <c r="D70">
        <v>11</v>
      </c>
      <c r="E70">
        <v>116</v>
      </c>
      <c r="F70">
        <v>77.2</v>
      </c>
      <c r="G70">
        <v>109</v>
      </c>
      <c r="H70">
        <v>202</v>
      </c>
      <c r="I70">
        <v>258</v>
      </c>
      <c r="J70">
        <v>84.7</v>
      </c>
      <c r="K70">
        <v>46.5</v>
      </c>
      <c r="L70">
        <v>20.9</v>
      </c>
      <c r="M70">
        <v>5.9</v>
      </c>
      <c r="N70" s="11">
        <f t="shared" si="8"/>
        <v>204.2</v>
      </c>
      <c r="O70" s="11">
        <f t="shared" si="9"/>
        <v>569</v>
      </c>
      <c r="P70" s="11">
        <f t="shared" si="10"/>
        <v>152.1</v>
      </c>
      <c r="Q70" s="11">
        <f t="shared" si="11"/>
        <v>54.8</v>
      </c>
    </row>
    <row r="71" spans="1:17" x14ac:dyDescent="0.25">
      <c r="A71">
        <v>1970</v>
      </c>
      <c r="B71">
        <v>41.6</v>
      </c>
      <c r="C71">
        <v>7.3</v>
      </c>
      <c r="D71">
        <v>8.6</v>
      </c>
      <c r="E71">
        <v>111</v>
      </c>
      <c r="F71">
        <v>150</v>
      </c>
      <c r="G71">
        <v>97.2</v>
      </c>
      <c r="H71">
        <v>180</v>
      </c>
      <c r="I71">
        <v>125</v>
      </c>
      <c r="J71">
        <v>70.099999999999994</v>
      </c>
      <c r="K71">
        <v>2.1</v>
      </c>
      <c r="L71">
        <v>12.6</v>
      </c>
      <c r="M71">
        <v>51.1</v>
      </c>
      <c r="N71" s="11">
        <f t="shared" si="8"/>
        <v>269.60000000000002</v>
      </c>
      <c r="O71" s="11">
        <f t="shared" si="9"/>
        <v>402.2</v>
      </c>
      <c r="P71" s="11">
        <f t="shared" si="10"/>
        <v>84.799999999999983</v>
      </c>
      <c r="Q71" s="11">
        <f t="shared" si="11"/>
        <v>144.4</v>
      </c>
    </row>
    <row r="72" spans="1:17" x14ac:dyDescent="0.25">
      <c r="A72">
        <v>1971</v>
      </c>
      <c r="B72">
        <v>51.6</v>
      </c>
      <c r="C72">
        <v>41.7</v>
      </c>
      <c r="D72">
        <v>4.4000000000000004</v>
      </c>
      <c r="E72">
        <v>34.6</v>
      </c>
      <c r="F72">
        <v>133</v>
      </c>
      <c r="G72">
        <v>192</v>
      </c>
      <c r="H72">
        <v>242</v>
      </c>
      <c r="I72">
        <v>177</v>
      </c>
      <c r="J72">
        <v>48.9</v>
      </c>
      <c r="K72">
        <v>5.9</v>
      </c>
      <c r="L72">
        <v>18.399999999999999</v>
      </c>
      <c r="M72">
        <v>84.3</v>
      </c>
      <c r="N72" s="11">
        <f t="shared" si="8"/>
        <v>172</v>
      </c>
      <c r="O72" s="11">
        <f t="shared" si="9"/>
        <v>611</v>
      </c>
      <c r="P72" s="11">
        <f t="shared" si="10"/>
        <v>73.199999999999989</v>
      </c>
      <c r="Q72" s="11">
        <f t="shared" si="11"/>
        <v>107.29999999999998</v>
      </c>
    </row>
    <row r="73" spans="1:17" x14ac:dyDescent="0.25">
      <c r="A73">
        <v>1972</v>
      </c>
      <c r="B73">
        <v>22.4</v>
      </c>
      <c r="C73">
        <v>0.6</v>
      </c>
      <c r="D73">
        <v>30.3</v>
      </c>
      <c r="E73">
        <v>6.6</v>
      </c>
      <c r="F73">
        <v>270</v>
      </c>
      <c r="G73">
        <v>130</v>
      </c>
      <c r="H73">
        <v>185</v>
      </c>
      <c r="I73">
        <v>145</v>
      </c>
      <c r="J73">
        <v>82.7</v>
      </c>
      <c r="K73">
        <v>50.3</v>
      </c>
      <c r="L73">
        <v>21.9</v>
      </c>
      <c r="M73">
        <v>2.9</v>
      </c>
      <c r="N73" s="11">
        <f t="shared" si="8"/>
        <v>306.89999999999998</v>
      </c>
      <c r="O73" s="11">
        <f t="shared" si="9"/>
        <v>460</v>
      </c>
      <c r="P73" s="11">
        <f t="shared" si="10"/>
        <v>154.9</v>
      </c>
      <c r="Q73" s="11">
        <f t="shared" si="11"/>
        <v>21.199999999999996</v>
      </c>
    </row>
    <row r="74" spans="1:17" x14ac:dyDescent="0.25">
      <c r="A74">
        <v>1973</v>
      </c>
      <c r="B74">
        <v>14.2</v>
      </c>
      <c r="C74">
        <v>4.0999999999999996</v>
      </c>
      <c r="D74">
        <v>39.9</v>
      </c>
      <c r="E74">
        <v>46.2</v>
      </c>
      <c r="F74">
        <v>106</v>
      </c>
      <c r="G74">
        <v>198</v>
      </c>
      <c r="H74">
        <v>138</v>
      </c>
      <c r="I74">
        <v>129</v>
      </c>
      <c r="J74">
        <v>33.700000000000003</v>
      </c>
      <c r="K74">
        <v>92.4</v>
      </c>
      <c r="L74">
        <v>8.1999999999999993</v>
      </c>
      <c r="M74">
        <v>7.9</v>
      </c>
      <c r="N74" s="11">
        <f t="shared" si="8"/>
        <v>192.1</v>
      </c>
      <c r="O74" s="11">
        <f t="shared" si="9"/>
        <v>465</v>
      </c>
      <c r="P74" s="11">
        <f t="shared" si="10"/>
        <v>134.30000000000001</v>
      </c>
      <c r="Q74" s="11">
        <f t="shared" si="11"/>
        <v>156.19999999999999</v>
      </c>
    </row>
    <row r="75" spans="1:17" x14ac:dyDescent="0.25">
      <c r="A75">
        <v>1974</v>
      </c>
      <c r="B75">
        <v>106</v>
      </c>
      <c r="C75">
        <v>42.3</v>
      </c>
      <c r="D75">
        <v>22.2</v>
      </c>
      <c r="E75">
        <v>0.8</v>
      </c>
      <c r="F75">
        <v>124</v>
      </c>
      <c r="G75">
        <v>138</v>
      </c>
      <c r="H75">
        <v>111</v>
      </c>
      <c r="I75">
        <v>87.6</v>
      </c>
      <c r="J75">
        <v>65.7</v>
      </c>
      <c r="K75">
        <v>13.7</v>
      </c>
      <c r="L75">
        <v>40.4</v>
      </c>
      <c r="M75">
        <v>4.8</v>
      </c>
      <c r="N75" s="11">
        <f t="shared" si="8"/>
        <v>147</v>
      </c>
      <c r="O75" s="11">
        <f t="shared" si="9"/>
        <v>336.6</v>
      </c>
      <c r="P75" s="11">
        <f t="shared" si="10"/>
        <v>119.80000000000001</v>
      </c>
      <c r="Q75" s="11">
        <f t="shared" si="11"/>
        <v>62.7</v>
      </c>
    </row>
    <row r="76" spans="1:17" x14ac:dyDescent="0.25">
      <c r="A76">
        <v>1975</v>
      </c>
      <c r="B76">
        <v>18.100000000000001</v>
      </c>
      <c r="C76">
        <v>39.799999999999997</v>
      </c>
      <c r="D76">
        <v>108</v>
      </c>
      <c r="E76">
        <v>82.1</v>
      </c>
      <c r="F76">
        <v>82.3</v>
      </c>
      <c r="G76">
        <v>94.1</v>
      </c>
      <c r="H76">
        <v>198</v>
      </c>
      <c r="I76">
        <v>101</v>
      </c>
      <c r="J76">
        <v>35.1</v>
      </c>
      <c r="K76">
        <v>19.2</v>
      </c>
      <c r="L76">
        <v>70.5</v>
      </c>
      <c r="M76">
        <v>45.4</v>
      </c>
      <c r="N76" s="11">
        <f t="shared" si="8"/>
        <v>272.39999999999998</v>
      </c>
      <c r="O76" s="11">
        <f t="shared" si="9"/>
        <v>393.1</v>
      </c>
      <c r="P76" s="11">
        <f t="shared" si="10"/>
        <v>124.8</v>
      </c>
      <c r="Q76" s="11">
        <f t="shared" si="11"/>
        <v>101.1</v>
      </c>
    </row>
    <row r="77" spans="1:17" x14ac:dyDescent="0.25">
      <c r="A77">
        <v>1976</v>
      </c>
      <c r="B77">
        <v>46.8</v>
      </c>
      <c r="C77">
        <v>8.9</v>
      </c>
      <c r="D77">
        <v>11.6</v>
      </c>
      <c r="E77">
        <v>1.6</v>
      </c>
      <c r="F77">
        <v>83.1</v>
      </c>
      <c r="G77">
        <v>400</v>
      </c>
      <c r="H77">
        <v>126</v>
      </c>
      <c r="I77">
        <v>33.9</v>
      </c>
      <c r="J77">
        <v>14.2</v>
      </c>
      <c r="K77">
        <v>14.8</v>
      </c>
      <c r="L77">
        <v>14.2</v>
      </c>
      <c r="M77">
        <v>33.1</v>
      </c>
      <c r="N77" s="11">
        <f t="shared" si="8"/>
        <v>96.3</v>
      </c>
      <c r="O77" s="11">
        <f t="shared" si="9"/>
        <v>559.9</v>
      </c>
      <c r="P77" s="11">
        <f t="shared" si="10"/>
        <v>43.2</v>
      </c>
      <c r="Q77" s="11">
        <f t="shared" si="11"/>
        <v>79.400000000000006</v>
      </c>
    </row>
    <row r="78" spans="1:17" x14ac:dyDescent="0.25">
      <c r="A78">
        <v>1977</v>
      </c>
      <c r="B78">
        <v>39.200000000000003</v>
      </c>
      <c r="C78">
        <v>7.1</v>
      </c>
      <c r="D78">
        <v>24.1</v>
      </c>
      <c r="E78">
        <v>63.3</v>
      </c>
      <c r="F78">
        <v>188</v>
      </c>
      <c r="G78">
        <v>268</v>
      </c>
      <c r="H78">
        <v>150</v>
      </c>
      <c r="I78">
        <v>65.3</v>
      </c>
      <c r="J78">
        <v>60.2</v>
      </c>
      <c r="K78">
        <v>26.5</v>
      </c>
      <c r="L78">
        <v>44.5</v>
      </c>
      <c r="M78">
        <v>49.5</v>
      </c>
      <c r="N78" s="11">
        <f t="shared" si="8"/>
        <v>275.39999999999998</v>
      </c>
      <c r="O78" s="11">
        <f t="shared" si="9"/>
        <v>483.3</v>
      </c>
      <c r="P78" s="11">
        <f t="shared" si="10"/>
        <v>131.19999999999999</v>
      </c>
      <c r="Q78" s="11">
        <f t="shared" si="11"/>
        <v>80</v>
      </c>
    </row>
    <row r="79" spans="1:17" x14ac:dyDescent="0.25">
      <c r="A79">
        <v>1978</v>
      </c>
      <c r="B79">
        <v>17.5</v>
      </c>
      <c r="C79">
        <v>13</v>
      </c>
      <c r="D79">
        <v>18.899999999999999</v>
      </c>
      <c r="E79">
        <v>2.4</v>
      </c>
      <c r="F79">
        <v>173</v>
      </c>
      <c r="G79">
        <v>131</v>
      </c>
      <c r="H79">
        <v>198</v>
      </c>
      <c r="I79">
        <v>51</v>
      </c>
      <c r="J79">
        <v>44.8</v>
      </c>
      <c r="K79">
        <v>119</v>
      </c>
      <c r="L79">
        <v>16.100000000000001</v>
      </c>
      <c r="M79">
        <v>0.2</v>
      </c>
      <c r="N79" s="11">
        <f t="shared" si="8"/>
        <v>194.3</v>
      </c>
      <c r="O79" s="11">
        <f t="shared" si="9"/>
        <v>380</v>
      </c>
      <c r="P79" s="11">
        <f t="shared" si="10"/>
        <v>179.9</v>
      </c>
      <c r="Q79" s="11">
        <f t="shared" si="11"/>
        <v>6.8000000000000007</v>
      </c>
    </row>
    <row r="80" spans="1:17" x14ac:dyDescent="0.25">
      <c r="A80">
        <v>1979</v>
      </c>
      <c r="B80">
        <v>5.7</v>
      </c>
      <c r="C80">
        <v>0.9</v>
      </c>
      <c r="D80">
        <v>17.899999999999999</v>
      </c>
      <c r="E80">
        <v>7.4</v>
      </c>
      <c r="F80">
        <v>164</v>
      </c>
      <c r="G80">
        <v>43.8</v>
      </c>
      <c r="H80">
        <v>159</v>
      </c>
      <c r="I80">
        <v>307</v>
      </c>
      <c r="J80">
        <v>64.400000000000006</v>
      </c>
      <c r="K80">
        <v>51.8</v>
      </c>
      <c r="L80">
        <v>43.4</v>
      </c>
      <c r="M80">
        <v>84.6</v>
      </c>
      <c r="N80" s="11">
        <f t="shared" si="8"/>
        <v>189.3</v>
      </c>
      <c r="O80" s="11">
        <f t="shared" si="9"/>
        <v>509.8</v>
      </c>
      <c r="P80" s="11">
        <f t="shared" si="10"/>
        <v>159.6</v>
      </c>
      <c r="Q80" s="11">
        <f t="shared" si="11"/>
        <v>174.3</v>
      </c>
    </row>
    <row r="81" spans="1:17" x14ac:dyDescent="0.25">
      <c r="A81">
        <v>1980</v>
      </c>
      <c r="B81">
        <v>5.3</v>
      </c>
      <c r="C81">
        <v>84.4</v>
      </c>
      <c r="D81">
        <v>15.2</v>
      </c>
      <c r="E81">
        <v>135</v>
      </c>
      <c r="F81">
        <v>266</v>
      </c>
      <c r="G81">
        <v>136</v>
      </c>
      <c r="H81">
        <v>141</v>
      </c>
      <c r="I81">
        <v>220</v>
      </c>
      <c r="J81">
        <v>38.299999999999997</v>
      </c>
      <c r="K81">
        <v>0.9</v>
      </c>
      <c r="L81">
        <v>61.3</v>
      </c>
      <c r="M81">
        <v>36</v>
      </c>
      <c r="N81" s="11">
        <f t="shared" si="8"/>
        <v>416.2</v>
      </c>
      <c r="O81" s="11">
        <f t="shared" si="9"/>
        <v>497</v>
      </c>
      <c r="P81" s="11">
        <f t="shared" si="10"/>
        <v>100.5</v>
      </c>
      <c r="Q81" s="11">
        <f t="shared" si="11"/>
        <v>83.6</v>
      </c>
    </row>
    <row r="82" spans="1:17" x14ac:dyDescent="0.25">
      <c r="A82">
        <v>1981</v>
      </c>
      <c r="B82">
        <v>47.6</v>
      </c>
      <c r="C82">
        <v>0</v>
      </c>
      <c r="D82">
        <v>43</v>
      </c>
      <c r="E82">
        <v>54.1</v>
      </c>
      <c r="F82">
        <v>344</v>
      </c>
      <c r="G82">
        <v>111</v>
      </c>
      <c r="H82">
        <v>109</v>
      </c>
      <c r="I82">
        <v>37.6</v>
      </c>
      <c r="J82">
        <v>102</v>
      </c>
      <c r="K82">
        <v>16.7</v>
      </c>
      <c r="L82">
        <v>7</v>
      </c>
      <c r="M82">
        <v>20.100000000000001</v>
      </c>
      <c r="N82" s="11">
        <f t="shared" si="8"/>
        <v>441.1</v>
      </c>
      <c r="O82" s="11">
        <f t="shared" si="9"/>
        <v>257.60000000000002</v>
      </c>
      <c r="P82" s="11">
        <f t="shared" si="10"/>
        <v>125.7</v>
      </c>
      <c r="Q82" s="11">
        <f t="shared" si="11"/>
        <v>55.099999999999994</v>
      </c>
    </row>
    <row r="83" spans="1:17" x14ac:dyDescent="0.25">
      <c r="A83">
        <v>1982</v>
      </c>
      <c r="B83">
        <v>24.7</v>
      </c>
      <c r="C83">
        <v>10.3</v>
      </c>
      <c r="D83">
        <v>30.2</v>
      </c>
      <c r="E83">
        <v>13.7</v>
      </c>
      <c r="F83">
        <v>213</v>
      </c>
      <c r="G83">
        <v>173</v>
      </c>
      <c r="H83">
        <v>183</v>
      </c>
      <c r="I83">
        <v>142</v>
      </c>
      <c r="J83">
        <v>94.4</v>
      </c>
      <c r="K83">
        <v>40.9</v>
      </c>
      <c r="L83">
        <v>20.8</v>
      </c>
      <c r="M83">
        <v>0.3</v>
      </c>
      <c r="N83" s="11">
        <f t="shared" si="8"/>
        <v>256.89999999999998</v>
      </c>
      <c r="O83" s="11">
        <f t="shared" si="9"/>
        <v>498</v>
      </c>
      <c r="P83" s="11">
        <f t="shared" si="10"/>
        <v>156.10000000000002</v>
      </c>
      <c r="Q83" s="11">
        <f t="shared" si="11"/>
        <v>21.1</v>
      </c>
    </row>
    <row r="84" spans="1:17" x14ac:dyDescent="0.25">
      <c r="A84">
        <v>1983</v>
      </c>
      <c r="B84">
        <v>14.5</v>
      </c>
      <c r="C84">
        <v>6.3</v>
      </c>
      <c r="D84">
        <v>25.8</v>
      </c>
      <c r="E84">
        <v>75.900000000000006</v>
      </c>
      <c r="F84">
        <v>70.099999999999994</v>
      </c>
      <c r="G84">
        <v>124</v>
      </c>
      <c r="H84">
        <v>125</v>
      </c>
      <c r="I84">
        <v>34.1</v>
      </c>
      <c r="J84">
        <v>117</v>
      </c>
      <c r="K84">
        <v>33.1</v>
      </c>
      <c r="L84">
        <v>0</v>
      </c>
      <c r="M84">
        <v>2.6</v>
      </c>
      <c r="N84" s="11">
        <f t="shared" si="8"/>
        <v>171.8</v>
      </c>
      <c r="O84" s="11">
        <f t="shared" si="9"/>
        <v>283.10000000000002</v>
      </c>
      <c r="P84" s="11">
        <f t="shared" si="10"/>
        <v>150.1</v>
      </c>
      <c r="Q84" s="11">
        <f t="shared" si="11"/>
        <v>56.5</v>
      </c>
    </row>
    <row r="85" spans="1:17" x14ac:dyDescent="0.25">
      <c r="A85">
        <v>1984</v>
      </c>
      <c r="B85">
        <v>16.600000000000001</v>
      </c>
      <c r="C85">
        <v>37.299999999999997</v>
      </c>
      <c r="D85">
        <v>64.3</v>
      </c>
      <c r="E85">
        <v>50.8</v>
      </c>
      <c r="F85">
        <v>228</v>
      </c>
      <c r="G85">
        <v>173</v>
      </c>
      <c r="H85">
        <v>151</v>
      </c>
      <c r="I85">
        <v>16.5</v>
      </c>
      <c r="J85">
        <v>37.4</v>
      </c>
      <c r="K85">
        <v>137</v>
      </c>
      <c r="L85">
        <v>12.1</v>
      </c>
      <c r="M85">
        <v>4.7</v>
      </c>
      <c r="N85" s="11">
        <f t="shared" si="8"/>
        <v>343.1</v>
      </c>
      <c r="O85" s="11">
        <f t="shared" si="9"/>
        <v>340.5</v>
      </c>
      <c r="P85" s="11">
        <f t="shared" si="10"/>
        <v>186.5</v>
      </c>
      <c r="Q85" s="11">
        <f t="shared" si="11"/>
        <v>64.5</v>
      </c>
    </row>
    <row r="86" spans="1:17" x14ac:dyDescent="0.25">
      <c r="A86">
        <v>1985</v>
      </c>
      <c r="B86">
        <v>16.100000000000001</v>
      </c>
      <c r="C86">
        <v>43.7</v>
      </c>
      <c r="D86">
        <v>40.5</v>
      </c>
      <c r="E86">
        <v>60.2</v>
      </c>
      <c r="F86">
        <v>231</v>
      </c>
      <c r="G86">
        <v>73.400000000000006</v>
      </c>
      <c r="H86">
        <v>42.5</v>
      </c>
      <c r="I86">
        <v>38.6</v>
      </c>
      <c r="J86">
        <v>38</v>
      </c>
      <c r="K86">
        <v>7</v>
      </c>
      <c r="L86">
        <v>26.1</v>
      </c>
      <c r="M86">
        <v>4</v>
      </c>
      <c r="N86" s="11">
        <f t="shared" si="8"/>
        <v>331.7</v>
      </c>
      <c r="O86" s="11">
        <f t="shared" si="9"/>
        <v>154.5</v>
      </c>
      <c r="P86" s="11">
        <f t="shared" si="10"/>
        <v>71.099999999999994</v>
      </c>
      <c r="Q86" s="11">
        <f t="shared" si="11"/>
        <v>38.200000000000003</v>
      </c>
    </row>
    <row r="87" spans="1:17" x14ac:dyDescent="0.25">
      <c r="A87">
        <v>1986</v>
      </c>
      <c r="B87">
        <v>8.1999999999999993</v>
      </c>
      <c r="C87">
        <v>26</v>
      </c>
      <c r="D87">
        <v>26.6</v>
      </c>
      <c r="E87">
        <v>65.099999999999994</v>
      </c>
      <c r="F87">
        <v>138</v>
      </c>
      <c r="G87">
        <v>159</v>
      </c>
      <c r="H87">
        <v>39.299999999999997</v>
      </c>
      <c r="I87">
        <v>103</v>
      </c>
      <c r="J87">
        <v>20.5</v>
      </c>
      <c r="K87">
        <v>16.899999999999999</v>
      </c>
      <c r="L87">
        <v>44.5</v>
      </c>
      <c r="M87">
        <v>0</v>
      </c>
      <c r="N87" s="11">
        <f t="shared" si="8"/>
        <v>229.7</v>
      </c>
      <c r="O87" s="11">
        <f t="shared" si="9"/>
        <v>301.3</v>
      </c>
      <c r="P87" s="11">
        <f t="shared" si="10"/>
        <v>81.900000000000006</v>
      </c>
      <c r="Q87" s="11">
        <f t="shared" si="11"/>
        <v>18</v>
      </c>
    </row>
    <row r="88" spans="1:17" x14ac:dyDescent="0.25">
      <c r="A88">
        <v>1987</v>
      </c>
      <c r="B88">
        <v>0.5</v>
      </c>
      <c r="C88">
        <v>17.5</v>
      </c>
      <c r="D88">
        <v>47.5</v>
      </c>
      <c r="E88">
        <v>25.6</v>
      </c>
      <c r="F88">
        <v>56.9</v>
      </c>
      <c r="G88">
        <v>91</v>
      </c>
      <c r="H88">
        <v>192</v>
      </c>
      <c r="I88">
        <v>110</v>
      </c>
      <c r="J88">
        <v>16.399999999999999</v>
      </c>
      <c r="K88">
        <v>57.6</v>
      </c>
      <c r="L88">
        <v>36.299999999999997</v>
      </c>
      <c r="M88">
        <v>19.899999999999999</v>
      </c>
      <c r="N88" s="11">
        <f t="shared" si="8"/>
        <v>130</v>
      </c>
      <c r="O88" s="11">
        <f t="shared" si="9"/>
        <v>393</v>
      </c>
      <c r="P88" s="11">
        <f t="shared" si="10"/>
        <v>110.3</v>
      </c>
      <c r="Q88" s="11">
        <f t="shared" si="11"/>
        <v>44.1</v>
      </c>
    </row>
    <row r="89" spans="1:17" x14ac:dyDescent="0.25">
      <c r="A89">
        <v>1988</v>
      </c>
      <c r="B89">
        <v>21.3</v>
      </c>
      <c r="C89">
        <v>2.9</v>
      </c>
      <c r="D89">
        <v>21.5</v>
      </c>
      <c r="E89">
        <v>29.8</v>
      </c>
      <c r="F89">
        <v>41.2</v>
      </c>
      <c r="G89">
        <v>194</v>
      </c>
      <c r="H89">
        <v>15.1</v>
      </c>
      <c r="I89">
        <v>114</v>
      </c>
      <c r="J89">
        <v>7.1</v>
      </c>
      <c r="K89">
        <v>59.1</v>
      </c>
      <c r="L89">
        <v>6.1</v>
      </c>
      <c r="M89">
        <v>46.7</v>
      </c>
      <c r="N89" s="11">
        <f t="shared" si="8"/>
        <v>92.5</v>
      </c>
      <c r="O89" s="11">
        <f t="shared" si="9"/>
        <v>323.10000000000002</v>
      </c>
      <c r="P89" s="11">
        <f t="shared" si="10"/>
        <v>72.3</v>
      </c>
      <c r="Q89" s="11">
        <f t="shared" si="11"/>
        <v>63.800000000000004</v>
      </c>
    </row>
    <row r="90" spans="1:17" x14ac:dyDescent="0.25">
      <c r="A90">
        <v>1989</v>
      </c>
      <c r="B90">
        <v>2.2000000000000002</v>
      </c>
      <c r="C90">
        <v>14.9</v>
      </c>
      <c r="D90">
        <v>10.3</v>
      </c>
      <c r="E90">
        <v>17.100000000000001</v>
      </c>
      <c r="F90">
        <v>7.1</v>
      </c>
      <c r="G90">
        <v>176</v>
      </c>
      <c r="H90">
        <v>155</v>
      </c>
      <c r="I90">
        <v>110</v>
      </c>
      <c r="J90">
        <v>14.9</v>
      </c>
      <c r="K90">
        <v>7.8</v>
      </c>
      <c r="L90">
        <v>0.5</v>
      </c>
      <c r="M90">
        <v>32.1</v>
      </c>
      <c r="N90" s="11">
        <f t="shared" si="8"/>
        <v>34.5</v>
      </c>
      <c r="O90" s="11">
        <f t="shared" si="9"/>
        <v>441</v>
      </c>
      <c r="P90" s="11">
        <f t="shared" si="10"/>
        <v>23.2</v>
      </c>
      <c r="Q90" s="11">
        <f t="shared" si="11"/>
        <v>48.5</v>
      </c>
    </row>
    <row r="91" spans="1:17" x14ac:dyDescent="0.25">
      <c r="A91">
        <v>1990</v>
      </c>
      <c r="B91">
        <v>12.2</v>
      </c>
      <c r="C91">
        <v>4.2</v>
      </c>
      <c r="D91">
        <v>55.4</v>
      </c>
      <c r="E91">
        <v>151</v>
      </c>
      <c r="F91">
        <v>95.6</v>
      </c>
      <c r="G91">
        <v>141</v>
      </c>
      <c r="H91">
        <v>44.4</v>
      </c>
      <c r="I91">
        <v>48.1</v>
      </c>
      <c r="J91">
        <v>118</v>
      </c>
      <c r="K91">
        <v>8.3000000000000007</v>
      </c>
      <c r="L91">
        <v>4.4000000000000004</v>
      </c>
      <c r="M91">
        <v>19.7</v>
      </c>
      <c r="N91" s="11">
        <f t="shared" si="8"/>
        <v>302</v>
      </c>
      <c r="O91" s="11">
        <f t="shared" si="9"/>
        <v>233.5</v>
      </c>
      <c r="P91" s="11">
        <f t="shared" si="10"/>
        <v>130.69999999999999</v>
      </c>
      <c r="Q91" s="11">
        <f t="shared" si="11"/>
        <v>39.5</v>
      </c>
    </row>
    <row r="92" spans="1:17" x14ac:dyDescent="0.25">
      <c r="A92">
        <v>1991</v>
      </c>
      <c r="B92">
        <v>12.9</v>
      </c>
      <c r="C92">
        <v>6.9</v>
      </c>
      <c r="D92">
        <v>28</v>
      </c>
      <c r="E92">
        <v>13.7</v>
      </c>
      <c r="F92">
        <v>199</v>
      </c>
      <c r="G92">
        <v>77.900000000000006</v>
      </c>
      <c r="H92">
        <v>144</v>
      </c>
      <c r="I92">
        <v>128</v>
      </c>
      <c r="J92">
        <v>39.5</v>
      </c>
      <c r="K92">
        <v>45.4</v>
      </c>
      <c r="L92">
        <v>4.3</v>
      </c>
      <c r="M92">
        <v>86.6</v>
      </c>
      <c r="N92" s="11">
        <f t="shared" si="8"/>
        <v>240.7</v>
      </c>
      <c r="O92" s="11">
        <f t="shared" si="9"/>
        <v>349.9</v>
      </c>
      <c r="P92" s="11">
        <f t="shared" si="10"/>
        <v>89.2</v>
      </c>
      <c r="Q92" s="11">
        <f t="shared" si="11"/>
        <v>182.8</v>
      </c>
    </row>
    <row r="93" spans="1:17" x14ac:dyDescent="0.25">
      <c r="A93">
        <v>1992</v>
      </c>
      <c r="B93">
        <v>3.2</v>
      </c>
      <c r="C93">
        <v>93</v>
      </c>
      <c r="D93">
        <v>44.2</v>
      </c>
      <c r="E93">
        <v>54.7</v>
      </c>
      <c r="F93">
        <v>152</v>
      </c>
      <c r="G93">
        <v>151</v>
      </c>
      <c r="H93">
        <v>55.1</v>
      </c>
      <c r="I93">
        <v>68.5</v>
      </c>
      <c r="J93">
        <v>72.3</v>
      </c>
      <c r="K93">
        <v>123</v>
      </c>
      <c r="L93">
        <v>20.100000000000001</v>
      </c>
      <c r="M93">
        <v>4.8</v>
      </c>
      <c r="N93" s="11">
        <f t="shared" si="8"/>
        <v>250.9</v>
      </c>
      <c r="O93" s="11">
        <f t="shared" si="9"/>
        <v>274.60000000000002</v>
      </c>
      <c r="P93" s="11">
        <f t="shared" si="10"/>
        <v>215.4</v>
      </c>
      <c r="Q93" s="11">
        <f t="shared" si="11"/>
        <v>19.2</v>
      </c>
    </row>
    <row r="94" spans="1:17" x14ac:dyDescent="0.25">
      <c r="A94">
        <v>1993</v>
      </c>
      <c r="B94">
        <v>10.9</v>
      </c>
      <c r="C94">
        <v>3.5</v>
      </c>
      <c r="D94">
        <v>129</v>
      </c>
      <c r="E94">
        <v>77.599999999999994</v>
      </c>
      <c r="F94">
        <v>192</v>
      </c>
      <c r="G94">
        <v>321</v>
      </c>
      <c r="H94">
        <v>210</v>
      </c>
      <c r="I94">
        <v>72.8</v>
      </c>
      <c r="J94">
        <v>26.7</v>
      </c>
      <c r="K94">
        <v>71.2</v>
      </c>
      <c r="L94">
        <v>28.6</v>
      </c>
      <c r="M94">
        <v>64.5</v>
      </c>
      <c r="N94" s="11">
        <f t="shared" si="8"/>
        <v>398.6</v>
      </c>
      <c r="O94" s="11">
        <f t="shared" si="9"/>
        <v>603.79999999999995</v>
      </c>
      <c r="P94" s="11">
        <f t="shared" si="10"/>
        <v>126.5</v>
      </c>
      <c r="Q94" s="11">
        <f t="shared" si="11"/>
        <v>66.399999999999991</v>
      </c>
    </row>
    <row r="95" spans="1:17" x14ac:dyDescent="0.25">
      <c r="A95">
        <v>1994</v>
      </c>
      <c r="B95">
        <v>1.3</v>
      </c>
      <c r="C95">
        <v>0.6</v>
      </c>
      <c r="D95">
        <v>29.8</v>
      </c>
      <c r="E95">
        <v>31.1</v>
      </c>
      <c r="F95">
        <v>177</v>
      </c>
      <c r="G95">
        <v>214</v>
      </c>
      <c r="H95">
        <v>224</v>
      </c>
      <c r="I95">
        <v>31.5</v>
      </c>
      <c r="J95">
        <v>168</v>
      </c>
      <c r="K95">
        <v>63.4</v>
      </c>
      <c r="L95">
        <v>83.6</v>
      </c>
      <c r="M95">
        <v>19.899999999999999</v>
      </c>
      <c r="N95" s="11">
        <f t="shared" si="8"/>
        <v>237.9</v>
      </c>
      <c r="O95" s="11">
        <f t="shared" si="9"/>
        <v>469.5</v>
      </c>
      <c r="P95" s="11">
        <f t="shared" si="10"/>
        <v>315</v>
      </c>
      <c r="Q95" s="11">
        <f t="shared" si="11"/>
        <v>47.099999999999994</v>
      </c>
    </row>
    <row r="96" spans="1:17" x14ac:dyDescent="0.25">
      <c r="A96">
        <v>1995</v>
      </c>
      <c r="B96">
        <v>7.2</v>
      </c>
      <c r="C96">
        <v>20</v>
      </c>
      <c r="D96">
        <v>7.9</v>
      </c>
      <c r="E96">
        <v>96.1</v>
      </c>
      <c r="F96">
        <v>47.2</v>
      </c>
      <c r="G96">
        <v>290</v>
      </c>
      <c r="H96">
        <v>146</v>
      </c>
      <c r="I96">
        <v>148</v>
      </c>
      <c r="J96">
        <v>43.6</v>
      </c>
      <c r="K96">
        <v>24.2</v>
      </c>
      <c r="L96">
        <v>13.7</v>
      </c>
      <c r="M96">
        <v>5</v>
      </c>
      <c r="N96" s="11">
        <f t="shared" si="8"/>
        <v>151.19999999999999</v>
      </c>
      <c r="O96" s="11">
        <f t="shared" si="9"/>
        <v>584</v>
      </c>
      <c r="P96" s="11">
        <f t="shared" si="10"/>
        <v>81.5</v>
      </c>
      <c r="Q96" s="11">
        <f t="shared" si="11"/>
        <v>37.5</v>
      </c>
    </row>
    <row r="97" spans="1:17" x14ac:dyDescent="0.25">
      <c r="A97">
        <v>1996</v>
      </c>
      <c r="B97">
        <v>17</v>
      </c>
      <c r="C97">
        <v>15.5</v>
      </c>
      <c r="D97">
        <v>73.599999999999994</v>
      </c>
      <c r="E97">
        <v>56.5</v>
      </c>
      <c r="F97">
        <v>92</v>
      </c>
      <c r="G97">
        <v>60</v>
      </c>
      <c r="H97">
        <v>22.4</v>
      </c>
      <c r="I97">
        <v>110</v>
      </c>
      <c r="J97">
        <v>9.5</v>
      </c>
      <c r="K97">
        <v>24.6</v>
      </c>
      <c r="L97">
        <v>25</v>
      </c>
      <c r="M97">
        <v>26</v>
      </c>
      <c r="N97" s="11">
        <f t="shared" si="8"/>
        <v>222.1</v>
      </c>
      <c r="O97" s="11">
        <f t="shared" si="9"/>
        <v>192.4</v>
      </c>
      <c r="P97" s="11">
        <f t="shared" si="10"/>
        <v>59.1</v>
      </c>
      <c r="Q97" s="11">
        <f t="shared" si="11"/>
        <v>97.300000000000011</v>
      </c>
    </row>
    <row r="98" spans="1:17" x14ac:dyDescent="0.25">
      <c r="A98">
        <v>1997</v>
      </c>
      <c r="B98">
        <v>63.9</v>
      </c>
      <c r="C98">
        <v>7.4</v>
      </c>
      <c r="D98">
        <v>44</v>
      </c>
      <c r="E98">
        <v>175</v>
      </c>
      <c r="F98">
        <v>53.5</v>
      </c>
      <c r="G98">
        <v>173</v>
      </c>
      <c r="H98">
        <v>142</v>
      </c>
      <c r="I98">
        <v>110</v>
      </c>
      <c r="J98">
        <v>56.6</v>
      </c>
      <c r="K98">
        <v>47.3</v>
      </c>
      <c r="L98">
        <v>76.900000000000006</v>
      </c>
      <c r="M98">
        <v>23.5</v>
      </c>
      <c r="N98" s="11">
        <f t="shared" si="8"/>
        <v>272.5</v>
      </c>
      <c r="O98" s="11">
        <f t="shared" si="9"/>
        <v>425</v>
      </c>
      <c r="P98" s="11">
        <f t="shared" si="10"/>
        <v>180.8</v>
      </c>
      <c r="Q98" s="11">
        <f t="shared" si="11"/>
        <v>41.5</v>
      </c>
    </row>
    <row r="99" spans="1:17" x14ac:dyDescent="0.25">
      <c r="A99">
        <v>1998</v>
      </c>
      <c r="B99">
        <v>2</v>
      </c>
      <c r="C99">
        <v>16</v>
      </c>
      <c r="D99">
        <v>11</v>
      </c>
      <c r="E99">
        <v>67.599999999999994</v>
      </c>
      <c r="F99">
        <v>49.9</v>
      </c>
      <c r="G99">
        <v>42</v>
      </c>
      <c r="H99">
        <v>96.4</v>
      </c>
      <c r="I99">
        <v>61.6</v>
      </c>
      <c r="J99">
        <v>42.5</v>
      </c>
      <c r="K99">
        <v>6.8</v>
      </c>
      <c r="L99">
        <v>5</v>
      </c>
      <c r="M99">
        <v>7.1</v>
      </c>
      <c r="N99" s="11">
        <f t="shared" ref="N99:N123" si="12">IF(AND(ISNUMBER(D99),ISNUMBER(E99),ISNUMBER(F99)),SUM(D99:F99),"")</f>
        <v>128.5</v>
      </c>
      <c r="O99" s="11">
        <f t="shared" ref="O99:O123" si="13">IF(AND(ISNUMBER(G99),ISNUMBER(H99),ISNUMBER(I99)),SUM(G99:I99),"")</f>
        <v>200</v>
      </c>
      <c r="P99" s="11">
        <f t="shared" ref="P99:P123" si="14">IF(AND(ISNUMBER(J99),ISNUMBER(K99),ISNUMBER(L99)),SUM(J99:L99),"")</f>
        <v>54.3</v>
      </c>
      <c r="Q99" s="11">
        <f t="shared" ref="Q99:Q123" si="15">IF(AND(ISNUMBER(M99),ISNUMBER(B100),ISNUMBER(C100)),SUM(M99,B100:C100),"")</f>
        <v>11.799999999999999</v>
      </c>
    </row>
    <row r="100" spans="1:17" x14ac:dyDescent="0.25">
      <c r="A100">
        <v>1999</v>
      </c>
      <c r="B100">
        <v>4.3</v>
      </c>
      <c r="C100">
        <v>0.4</v>
      </c>
      <c r="D100">
        <v>22.7</v>
      </c>
      <c r="E100">
        <v>21.5</v>
      </c>
      <c r="F100">
        <v>60</v>
      </c>
      <c r="G100">
        <v>282</v>
      </c>
      <c r="H100">
        <v>60.1</v>
      </c>
      <c r="I100">
        <v>198</v>
      </c>
      <c r="J100">
        <v>53</v>
      </c>
      <c r="K100">
        <v>1.6</v>
      </c>
      <c r="L100">
        <v>8.6999999999999993</v>
      </c>
      <c r="M100">
        <v>22</v>
      </c>
      <c r="N100" s="11">
        <f t="shared" si="12"/>
        <v>104.2</v>
      </c>
      <c r="O100" s="11">
        <f t="shared" si="13"/>
        <v>540.1</v>
      </c>
      <c r="P100" s="11">
        <f t="shared" si="14"/>
        <v>63.3</v>
      </c>
      <c r="Q100" s="11">
        <f t="shared" si="15"/>
        <v>86.5</v>
      </c>
    </row>
    <row r="101" spans="1:17" x14ac:dyDescent="0.25">
      <c r="A101">
        <v>2000</v>
      </c>
      <c r="B101">
        <v>5.3</v>
      </c>
      <c r="C101">
        <v>59.2</v>
      </c>
      <c r="D101">
        <v>12</v>
      </c>
      <c r="E101">
        <v>68.7</v>
      </c>
      <c r="F101">
        <v>41.1</v>
      </c>
      <c r="G101">
        <v>290</v>
      </c>
      <c r="H101">
        <v>228</v>
      </c>
      <c r="I101">
        <v>77.900000000000006</v>
      </c>
      <c r="J101">
        <v>105</v>
      </c>
      <c r="K101">
        <v>131</v>
      </c>
      <c r="L101">
        <v>55.4</v>
      </c>
      <c r="M101">
        <v>16.2</v>
      </c>
      <c r="N101" s="11">
        <f t="shared" si="12"/>
        <v>121.80000000000001</v>
      </c>
      <c r="O101" s="11">
        <f t="shared" si="13"/>
        <v>595.9</v>
      </c>
      <c r="P101" s="11">
        <f t="shared" si="14"/>
        <v>291.39999999999998</v>
      </c>
      <c r="Q101" s="11">
        <f t="shared" si="15"/>
        <v>107.4</v>
      </c>
    </row>
    <row r="102" spans="1:17" x14ac:dyDescent="0.25">
      <c r="A102">
        <v>2001</v>
      </c>
      <c r="B102">
        <v>80.8</v>
      </c>
      <c r="C102">
        <v>10.4</v>
      </c>
      <c r="D102">
        <v>35</v>
      </c>
      <c r="E102">
        <v>19.3</v>
      </c>
      <c r="F102">
        <v>294</v>
      </c>
      <c r="G102">
        <v>209</v>
      </c>
      <c r="H102">
        <v>165</v>
      </c>
      <c r="I102">
        <v>68.5</v>
      </c>
      <c r="J102">
        <v>16.2</v>
      </c>
      <c r="K102">
        <v>7.4</v>
      </c>
      <c r="L102">
        <v>19.3</v>
      </c>
      <c r="M102">
        <v>2</v>
      </c>
      <c r="N102" s="11">
        <f t="shared" si="12"/>
        <v>348.3</v>
      </c>
      <c r="O102" s="11">
        <f t="shared" si="13"/>
        <v>442.5</v>
      </c>
      <c r="P102" s="11">
        <f t="shared" si="14"/>
        <v>42.900000000000006</v>
      </c>
      <c r="Q102" s="11">
        <f t="shared" si="15"/>
        <v>67</v>
      </c>
    </row>
    <row r="103" spans="1:17" x14ac:dyDescent="0.25">
      <c r="A103">
        <v>2002</v>
      </c>
      <c r="B103">
        <v>13</v>
      </c>
      <c r="C103">
        <v>52</v>
      </c>
      <c r="D103">
        <v>91.1</v>
      </c>
      <c r="E103">
        <v>103</v>
      </c>
      <c r="F103">
        <v>161</v>
      </c>
      <c r="G103">
        <v>81.8</v>
      </c>
      <c r="H103">
        <v>54.1</v>
      </c>
      <c r="I103">
        <v>114</v>
      </c>
      <c r="J103">
        <v>83.8</v>
      </c>
      <c r="K103">
        <v>183</v>
      </c>
      <c r="L103">
        <v>85.6</v>
      </c>
      <c r="M103">
        <v>17</v>
      </c>
      <c r="N103" s="11">
        <f t="shared" si="12"/>
        <v>355.1</v>
      </c>
      <c r="O103" s="11">
        <f t="shared" si="13"/>
        <v>249.9</v>
      </c>
      <c r="P103" s="11">
        <f t="shared" si="14"/>
        <v>352.4</v>
      </c>
      <c r="Q103" s="11">
        <f t="shared" si="15"/>
        <v>22.7</v>
      </c>
    </row>
    <row r="104" spans="1:17" x14ac:dyDescent="0.25">
      <c r="A104">
        <v>2003</v>
      </c>
      <c r="B104">
        <v>4</v>
      </c>
      <c r="C104">
        <v>1.7</v>
      </c>
      <c r="D104">
        <v>8.8000000000000007</v>
      </c>
      <c r="E104">
        <v>35.1</v>
      </c>
      <c r="F104">
        <v>25.2</v>
      </c>
      <c r="G104">
        <v>289</v>
      </c>
      <c r="H104">
        <v>175</v>
      </c>
      <c r="I104">
        <v>95.5</v>
      </c>
      <c r="J104">
        <v>90</v>
      </c>
      <c r="K104">
        <v>29.1</v>
      </c>
      <c r="L104">
        <v>29.3</v>
      </c>
      <c r="M104">
        <v>58.3</v>
      </c>
      <c r="N104" s="11">
        <f t="shared" si="12"/>
        <v>69.100000000000009</v>
      </c>
      <c r="O104" s="11">
        <f t="shared" si="13"/>
        <v>559.5</v>
      </c>
      <c r="P104" s="11">
        <f t="shared" si="14"/>
        <v>148.4</v>
      </c>
      <c r="Q104" s="11">
        <f t="shared" si="15"/>
        <v>74.3</v>
      </c>
    </row>
    <row r="105" spans="1:17" x14ac:dyDescent="0.25">
      <c r="A105">
        <v>2004</v>
      </c>
      <c r="B105">
        <v>3</v>
      </c>
      <c r="C105">
        <v>13</v>
      </c>
      <c r="D105">
        <v>17.8</v>
      </c>
      <c r="E105">
        <v>146</v>
      </c>
      <c r="F105">
        <v>19.100000000000001</v>
      </c>
      <c r="G105">
        <v>384</v>
      </c>
      <c r="H105">
        <v>118</v>
      </c>
      <c r="I105">
        <v>32.6</v>
      </c>
      <c r="J105">
        <v>92</v>
      </c>
      <c r="K105">
        <v>37.200000000000003</v>
      </c>
      <c r="L105">
        <v>24.8</v>
      </c>
      <c r="M105">
        <v>8</v>
      </c>
      <c r="N105" s="11">
        <f t="shared" si="12"/>
        <v>182.9</v>
      </c>
      <c r="O105" s="11">
        <f t="shared" si="13"/>
        <v>534.6</v>
      </c>
      <c r="P105" s="11">
        <f t="shared" si="14"/>
        <v>154</v>
      </c>
      <c r="Q105" s="11">
        <f t="shared" si="15"/>
        <v>12.399999999999999</v>
      </c>
    </row>
    <row r="106" spans="1:17" x14ac:dyDescent="0.25">
      <c r="A106">
        <v>2005</v>
      </c>
      <c r="B106">
        <v>3.2</v>
      </c>
      <c r="C106">
        <v>1.2</v>
      </c>
      <c r="D106">
        <v>49.7</v>
      </c>
      <c r="E106">
        <v>23.5</v>
      </c>
      <c r="F106">
        <v>252</v>
      </c>
      <c r="G106">
        <v>168</v>
      </c>
      <c r="H106">
        <v>90</v>
      </c>
      <c r="I106">
        <v>105</v>
      </c>
      <c r="J106">
        <v>16.399999999999999</v>
      </c>
      <c r="K106">
        <v>48.9</v>
      </c>
      <c r="L106">
        <v>95.2</v>
      </c>
      <c r="M106">
        <v>23.1</v>
      </c>
      <c r="N106" s="11">
        <f t="shared" si="12"/>
        <v>325.2</v>
      </c>
      <c r="O106" s="11">
        <f t="shared" si="13"/>
        <v>363</v>
      </c>
      <c r="P106" s="11">
        <f t="shared" si="14"/>
        <v>160.5</v>
      </c>
      <c r="Q106" s="11">
        <f t="shared" si="15"/>
        <v>127.60000000000001</v>
      </c>
    </row>
    <row r="107" spans="1:17" x14ac:dyDescent="0.25">
      <c r="A107">
        <v>2006</v>
      </c>
      <c r="B107">
        <v>90.3</v>
      </c>
      <c r="C107">
        <v>14.2</v>
      </c>
      <c r="D107">
        <v>19.8</v>
      </c>
      <c r="E107">
        <v>82.1</v>
      </c>
      <c r="F107">
        <v>73.400000000000006</v>
      </c>
      <c r="G107">
        <v>244</v>
      </c>
      <c r="H107">
        <v>232</v>
      </c>
      <c r="I107">
        <v>115</v>
      </c>
      <c r="J107">
        <v>81.3</v>
      </c>
      <c r="K107">
        <v>18.100000000000001</v>
      </c>
      <c r="L107">
        <v>3.6</v>
      </c>
      <c r="M107">
        <v>44.9</v>
      </c>
      <c r="N107" s="11">
        <f t="shared" si="12"/>
        <v>175.3</v>
      </c>
      <c r="O107" s="11">
        <f t="shared" si="13"/>
        <v>591</v>
      </c>
      <c r="P107" s="11">
        <f t="shared" si="14"/>
        <v>103</v>
      </c>
      <c r="Q107" s="11">
        <f t="shared" si="15"/>
        <v>85.1</v>
      </c>
    </row>
    <row r="108" spans="1:17" x14ac:dyDescent="0.25">
      <c r="A108">
        <v>2007</v>
      </c>
      <c r="B108">
        <v>10</v>
      </c>
      <c r="C108">
        <v>30.2</v>
      </c>
      <c r="D108">
        <v>50</v>
      </c>
      <c r="E108">
        <v>50.8</v>
      </c>
      <c r="F108">
        <v>17.2</v>
      </c>
      <c r="G108">
        <v>87.8</v>
      </c>
      <c r="H108">
        <v>116</v>
      </c>
      <c r="I108">
        <v>49.9</v>
      </c>
      <c r="J108">
        <v>67.5</v>
      </c>
      <c r="K108">
        <v>65.900000000000006</v>
      </c>
      <c r="L108">
        <v>4</v>
      </c>
      <c r="M108">
        <v>10.7</v>
      </c>
      <c r="N108" s="11">
        <f t="shared" si="12"/>
        <v>118</v>
      </c>
      <c r="O108" s="11">
        <f t="shared" si="13"/>
        <v>253.70000000000002</v>
      </c>
      <c r="P108" s="11">
        <f t="shared" si="14"/>
        <v>137.4</v>
      </c>
      <c r="Q108" s="11">
        <f t="shared" si="15"/>
        <v>20.299999999999997</v>
      </c>
    </row>
    <row r="109" spans="1:17" x14ac:dyDescent="0.25">
      <c r="A109">
        <v>2008</v>
      </c>
      <c r="B109">
        <v>9.1</v>
      </c>
      <c r="C109">
        <v>0.5</v>
      </c>
      <c r="D109">
        <v>4.3</v>
      </c>
      <c r="E109">
        <v>13.4</v>
      </c>
      <c r="F109">
        <v>230</v>
      </c>
      <c r="G109">
        <v>52.4</v>
      </c>
      <c r="H109">
        <v>175</v>
      </c>
      <c r="I109">
        <v>211</v>
      </c>
      <c r="J109">
        <v>22.2</v>
      </c>
      <c r="K109">
        <v>18</v>
      </c>
      <c r="L109">
        <v>31.5</v>
      </c>
      <c r="M109">
        <v>22</v>
      </c>
      <c r="N109" s="11">
        <f t="shared" si="12"/>
        <v>247.7</v>
      </c>
      <c r="O109" s="11">
        <f t="shared" si="13"/>
        <v>438.4</v>
      </c>
      <c r="P109" s="11">
        <f t="shared" si="14"/>
        <v>71.7</v>
      </c>
      <c r="Q109" s="11">
        <f t="shared" si="15"/>
        <v>33.200000000000003</v>
      </c>
    </row>
    <row r="110" spans="1:17" x14ac:dyDescent="0.25">
      <c r="A110">
        <v>2009</v>
      </c>
      <c r="B110">
        <v>5.2</v>
      </c>
      <c r="C110">
        <v>6</v>
      </c>
      <c r="D110">
        <v>12.3</v>
      </c>
      <c r="E110">
        <v>71.7</v>
      </c>
      <c r="F110">
        <v>313</v>
      </c>
      <c r="G110">
        <v>68.099999999999994</v>
      </c>
      <c r="H110">
        <v>68.599999999999994</v>
      </c>
      <c r="I110">
        <v>221</v>
      </c>
      <c r="J110">
        <v>40.4</v>
      </c>
      <c r="K110">
        <v>143</v>
      </c>
      <c r="L110">
        <v>74.3</v>
      </c>
      <c r="M110">
        <v>20.5</v>
      </c>
      <c r="N110" s="11">
        <f t="shared" si="12"/>
        <v>397</v>
      </c>
      <c r="O110" s="11">
        <f t="shared" si="13"/>
        <v>357.7</v>
      </c>
      <c r="P110" s="11">
        <f t="shared" si="14"/>
        <v>257.7</v>
      </c>
      <c r="Q110" s="11">
        <f t="shared" si="15"/>
        <v>56.3</v>
      </c>
    </row>
    <row r="111" spans="1:17" x14ac:dyDescent="0.25">
      <c r="A111">
        <v>2010</v>
      </c>
      <c r="B111">
        <v>7.5</v>
      </c>
      <c r="C111">
        <v>28.3</v>
      </c>
      <c r="D111">
        <v>43.1</v>
      </c>
      <c r="E111">
        <v>17.600000000000001</v>
      </c>
      <c r="F111">
        <v>31.4</v>
      </c>
      <c r="G111">
        <v>202</v>
      </c>
      <c r="H111">
        <v>85.1</v>
      </c>
      <c r="I111">
        <v>172</v>
      </c>
      <c r="J111">
        <v>3</v>
      </c>
      <c r="K111">
        <v>9.3000000000000007</v>
      </c>
      <c r="L111">
        <v>30.8</v>
      </c>
      <c r="M111">
        <v>69.3</v>
      </c>
      <c r="N111" s="11">
        <f t="shared" si="12"/>
        <v>92.1</v>
      </c>
      <c r="O111" s="11">
        <f t="shared" si="13"/>
        <v>459.1</v>
      </c>
      <c r="P111" s="11">
        <f t="shared" si="14"/>
        <v>43.1</v>
      </c>
      <c r="Q111" s="11">
        <f t="shared" si="15"/>
        <v>99.899999999999991</v>
      </c>
    </row>
    <row r="112" spans="1:17" x14ac:dyDescent="0.25">
      <c r="A112">
        <v>2011</v>
      </c>
      <c r="B112">
        <v>29.5</v>
      </c>
      <c r="C112">
        <v>1.1000000000000001</v>
      </c>
      <c r="D112">
        <v>10.3</v>
      </c>
      <c r="E112">
        <v>83.4</v>
      </c>
      <c r="F112">
        <v>37</v>
      </c>
      <c r="G112">
        <v>76.7</v>
      </c>
      <c r="H112">
        <v>122</v>
      </c>
      <c r="I112">
        <v>108</v>
      </c>
      <c r="J112">
        <v>93.5</v>
      </c>
      <c r="K112">
        <v>14</v>
      </c>
      <c r="L112">
        <v>7</v>
      </c>
      <c r="M112">
        <v>3.5</v>
      </c>
      <c r="N112" s="11">
        <f t="shared" si="12"/>
        <v>130.69999999999999</v>
      </c>
      <c r="O112" s="11">
        <f t="shared" si="13"/>
        <v>306.7</v>
      </c>
      <c r="P112" s="11">
        <f t="shared" si="14"/>
        <v>114.5</v>
      </c>
      <c r="Q112" s="11">
        <f t="shared" si="15"/>
        <v>133.1</v>
      </c>
    </row>
    <row r="113" spans="1:17" x14ac:dyDescent="0.25">
      <c r="A113">
        <v>2012</v>
      </c>
      <c r="B113">
        <v>51.1</v>
      </c>
      <c r="C113">
        <v>78.5</v>
      </c>
      <c r="D113">
        <v>11.3</v>
      </c>
      <c r="E113">
        <v>0.9</v>
      </c>
      <c r="F113">
        <v>159</v>
      </c>
      <c r="G113">
        <v>203</v>
      </c>
      <c r="H113">
        <v>63.7</v>
      </c>
      <c r="I113">
        <v>59.3</v>
      </c>
      <c r="J113">
        <v>13.3</v>
      </c>
      <c r="K113">
        <v>12.5</v>
      </c>
      <c r="L113">
        <v>0.8</v>
      </c>
      <c r="M113">
        <v>89</v>
      </c>
      <c r="N113" s="11">
        <f t="shared" si="12"/>
        <v>171.2</v>
      </c>
      <c r="O113" s="11">
        <f t="shared" si="13"/>
        <v>326</v>
      </c>
      <c r="P113" s="11">
        <f t="shared" si="14"/>
        <v>26.6</v>
      </c>
      <c r="Q113" s="11">
        <f t="shared" si="15"/>
        <v>133</v>
      </c>
    </row>
    <row r="114" spans="1:17" x14ac:dyDescent="0.25">
      <c r="A114">
        <v>2013</v>
      </c>
      <c r="B114">
        <v>7</v>
      </c>
      <c r="C114">
        <v>37</v>
      </c>
      <c r="D114">
        <v>18.8</v>
      </c>
      <c r="E114">
        <v>47.3</v>
      </c>
      <c r="F114">
        <v>150</v>
      </c>
      <c r="G114">
        <v>95.1</v>
      </c>
      <c r="H114">
        <v>122</v>
      </c>
      <c r="I114">
        <v>190</v>
      </c>
      <c r="J114">
        <v>111</v>
      </c>
      <c r="K114">
        <v>0.4</v>
      </c>
      <c r="L114">
        <v>10.6</v>
      </c>
      <c r="M114">
        <v>12.1</v>
      </c>
      <c r="N114" s="11">
        <f t="shared" si="12"/>
        <v>216.1</v>
      </c>
      <c r="O114" s="11">
        <f t="shared" si="13"/>
        <v>407.1</v>
      </c>
      <c r="P114" s="11">
        <f t="shared" si="14"/>
        <v>122</v>
      </c>
      <c r="Q114" s="11">
        <f t="shared" si="15"/>
        <v>71.900000000000006</v>
      </c>
    </row>
    <row r="115" spans="1:17" x14ac:dyDescent="0.25">
      <c r="A115">
        <v>2014</v>
      </c>
      <c r="B115">
        <v>45.4</v>
      </c>
      <c r="C115">
        <v>14.4</v>
      </c>
      <c r="D115">
        <v>19.899999999999999</v>
      </c>
      <c r="E115">
        <v>110</v>
      </c>
      <c r="F115">
        <v>79.5</v>
      </c>
      <c r="G115">
        <v>115</v>
      </c>
      <c r="H115">
        <v>138</v>
      </c>
      <c r="I115">
        <v>140</v>
      </c>
      <c r="J115">
        <v>78.3</v>
      </c>
      <c r="K115">
        <v>52</v>
      </c>
      <c r="L115">
        <v>28.4</v>
      </c>
      <c r="M115">
        <v>6.1</v>
      </c>
      <c r="N115" s="11">
        <f t="shared" si="12"/>
        <v>209.4</v>
      </c>
      <c r="O115" s="11">
        <f t="shared" si="13"/>
        <v>393</v>
      </c>
      <c r="P115" s="11">
        <f t="shared" si="14"/>
        <v>158.70000000000002</v>
      </c>
      <c r="Q115" s="11">
        <f t="shared" si="15"/>
        <v>28.1</v>
      </c>
    </row>
    <row r="116" spans="1:17" x14ac:dyDescent="0.25">
      <c r="A116">
        <v>2015</v>
      </c>
      <c r="B116">
        <v>0</v>
      </c>
      <c r="C116">
        <v>22</v>
      </c>
      <c r="D116">
        <v>0.7</v>
      </c>
      <c r="E116">
        <v>31</v>
      </c>
      <c r="F116">
        <v>145</v>
      </c>
      <c r="G116">
        <v>240</v>
      </c>
      <c r="H116">
        <v>175</v>
      </c>
      <c r="I116">
        <v>185</v>
      </c>
      <c r="J116">
        <v>33.1</v>
      </c>
      <c r="K116">
        <v>8.9</v>
      </c>
      <c r="L116">
        <v>7</v>
      </c>
      <c r="M116">
        <v>12.5</v>
      </c>
      <c r="N116" s="11">
        <f t="shared" si="12"/>
        <v>176.7</v>
      </c>
      <c r="O116" s="11">
        <f t="shared" si="13"/>
        <v>600</v>
      </c>
      <c r="P116" s="11">
        <f t="shared" si="14"/>
        <v>49</v>
      </c>
      <c r="Q116" s="11">
        <f t="shared" si="15"/>
        <v>36.5</v>
      </c>
    </row>
    <row r="117" spans="1:17" x14ac:dyDescent="0.25">
      <c r="A117">
        <v>2016</v>
      </c>
      <c r="B117">
        <v>5</v>
      </c>
      <c r="C117">
        <v>19</v>
      </c>
      <c r="D117">
        <v>4</v>
      </c>
      <c r="E117">
        <v>59</v>
      </c>
      <c r="F117">
        <v>58</v>
      </c>
      <c r="G117">
        <v>5</v>
      </c>
      <c r="H117">
        <v>79</v>
      </c>
      <c r="I117">
        <v>161</v>
      </c>
      <c r="J117">
        <v>28</v>
      </c>
      <c r="K117">
        <v>102</v>
      </c>
      <c r="L117">
        <v>31</v>
      </c>
      <c r="M117">
        <v>15</v>
      </c>
      <c r="N117" s="11">
        <f t="shared" si="12"/>
        <v>121</v>
      </c>
      <c r="O117" s="11">
        <f t="shared" si="13"/>
        <v>245</v>
      </c>
      <c r="P117" s="11">
        <f t="shared" si="14"/>
        <v>161</v>
      </c>
      <c r="Q117" s="11">
        <f t="shared" si="15"/>
        <v>81</v>
      </c>
    </row>
    <row r="118" spans="1:17" x14ac:dyDescent="0.25">
      <c r="A118">
        <v>2017</v>
      </c>
      <c r="B118">
        <v>34</v>
      </c>
      <c r="C118">
        <v>32</v>
      </c>
      <c r="D118">
        <v>44</v>
      </c>
      <c r="E118">
        <v>23</v>
      </c>
      <c r="F118">
        <v>31</v>
      </c>
      <c r="G118">
        <v>120</v>
      </c>
      <c r="H118">
        <v>72</v>
      </c>
      <c r="I118">
        <v>175</v>
      </c>
      <c r="J118">
        <v>25</v>
      </c>
      <c r="K118">
        <v>98</v>
      </c>
      <c r="L118">
        <v>13</v>
      </c>
      <c r="M118">
        <v>35</v>
      </c>
      <c r="N118" s="11">
        <f t="shared" si="12"/>
        <v>98</v>
      </c>
      <c r="O118" s="11">
        <f t="shared" si="13"/>
        <v>367</v>
      </c>
      <c r="P118" s="11">
        <f t="shared" si="14"/>
        <v>136</v>
      </c>
      <c r="Q118" s="11">
        <f t="shared" si="15"/>
        <v>93</v>
      </c>
    </row>
    <row r="119" spans="1:17" x14ac:dyDescent="0.25">
      <c r="A119">
        <v>2018</v>
      </c>
      <c r="B119">
        <v>36</v>
      </c>
      <c r="C119">
        <v>22</v>
      </c>
      <c r="D119">
        <v>65</v>
      </c>
      <c r="E119">
        <v>105</v>
      </c>
      <c r="F119">
        <v>46</v>
      </c>
      <c r="G119">
        <v>172</v>
      </c>
      <c r="H119">
        <v>78</v>
      </c>
      <c r="I119">
        <v>50</v>
      </c>
      <c r="N119" s="11">
        <f t="shared" si="12"/>
        <v>216</v>
      </c>
      <c r="O119" s="11">
        <f t="shared" si="13"/>
        <v>300</v>
      </c>
      <c r="P119" s="11" t="str">
        <f t="shared" si="14"/>
        <v/>
      </c>
      <c r="Q119" s="11" t="str">
        <f t="shared" si="15"/>
        <v/>
      </c>
    </row>
    <row r="120" spans="1:17" x14ac:dyDescent="0.25">
      <c r="A120">
        <v>2019</v>
      </c>
      <c r="N120" t="str">
        <f t="shared" si="12"/>
        <v/>
      </c>
      <c r="O120" t="str">
        <f t="shared" si="13"/>
        <v/>
      </c>
      <c r="P120" t="str">
        <f t="shared" si="14"/>
        <v/>
      </c>
      <c r="Q120" t="str">
        <f t="shared" si="15"/>
        <v/>
      </c>
    </row>
    <row r="121" spans="1:17" x14ac:dyDescent="0.25">
      <c r="A121">
        <v>2020</v>
      </c>
      <c r="N121" t="str">
        <f t="shared" si="12"/>
        <v/>
      </c>
      <c r="O121" t="str">
        <f t="shared" si="13"/>
        <v/>
      </c>
      <c r="P121" t="str">
        <f t="shared" si="14"/>
        <v/>
      </c>
      <c r="Q121" t="str">
        <f t="shared" si="15"/>
        <v/>
      </c>
    </row>
    <row r="122" spans="1:17" x14ac:dyDescent="0.25">
      <c r="A122">
        <v>2021</v>
      </c>
      <c r="N122" t="str">
        <f t="shared" si="12"/>
        <v/>
      </c>
      <c r="O122" t="str">
        <f t="shared" si="13"/>
        <v/>
      </c>
      <c r="P122" t="str">
        <f t="shared" si="14"/>
        <v/>
      </c>
      <c r="Q122" t="str">
        <f t="shared" si="15"/>
        <v/>
      </c>
    </row>
    <row r="123" spans="1:17" x14ac:dyDescent="0.25">
      <c r="A123">
        <v>2022</v>
      </c>
      <c r="N123" t="str">
        <f t="shared" si="12"/>
        <v/>
      </c>
      <c r="O123" t="str">
        <f t="shared" si="13"/>
        <v/>
      </c>
      <c r="P123" t="str">
        <f t="shared" si="14"/>
        <v/>
      </c>
      <c r="Q123" t="str">
        <f t="shared" si="15"/>
        <v/>
      </c>
    </row>
    <row r="125" spans="1:17" x14ac:dyDescent="0.25">
      <c r="B125" s="16" t="s">
        <v>1</v>
      </c>
      <c r="C125" s="16" t="s">
        <v>2</v>
      </c>
      <c r="D125" s="16" t="s">
        <v>3</v>
      </c>
      <c r="E125" s="16" t="s">
        <v>4</v>
      </c>
      <c r="F125" s="16" t="s">
        <v>5</v>
      </c>
      <c r="G125" s="16" t="s">
        <v>6</v>
      </c>
      <c r="H125" s="16" t="s">
        <v>7</v>
      </c>
      <c r="I125" s="16" t="s">
        <v>8</v>
      </c>
      <c r="J125" s="16" t="s">
        <v>9</v>
      </c>
      <c r="K125" s="16" t="s">
        <v>10</v>
      </c>
      <c r="L125" s="16" t="s">
        <v>11</v>
      </c>
      <c r="M125" s="16" t="s">
        <v>12</v>
      </c>
      <c r="N125" s="16" t="s">
        <v>41</v>
      </c>
    </row>
    <row r="126" spans="1:17" x14ac:dyDescent="0.25">
      <c r="A126" s="14" t="s">
        <v>38</v>
      </c>
      <c r="B126" s="17">
        <f>AVERAGE(B2:B123)</f>
        <v>24.494318181818176</v>
      </c>
      <c r="C126" s="17">
        <f t="shared" ref="C126:M126" si="16">AVERAGE(C2:C123)</f>
        <v>23.22272727272728</v>
      </c>
      <c r="D126" s="17">
        <f t="shared" si="16"/>
        <v>36.344318181818196</v>
      </c>
      <c r="E126" s="17">
        <f t="shared" si="16"/>
        <v>59.751136363636355</v>
      </c>
      <c r="F126" s="17">
        <f t="shared" si="16"/>
        <v>136.77272727272731</v>
      </c>
      <c r="G126" s="17">
        <f t="shared" si="16"/>
        <v>157.91136363636363</v>
      </c>
      <c r="H126" s="17">
        <f t="shared" si="16"/>
        <v>139.00000000000003</v>
      </c>
      <c r="I126" s="17">
        <f t="shared" si="16"/>
        <v>117.55000000000001</v>
      </c>
      <c r="J126" s="17">
        <f t="shared" si="16"/>
        <v>60.266666666666666</v>
      </c>
      <c r="K126" s="17">
        <f t="shared" si="16"/>
        <v>43.345977011494256</v>
      </c>
      <c r="L126" s="17">
        <f t="shared" si="16"/>
        <v>29.849425287356333</v>
      </c>
      <c r="M126" s="17">
        <f t="shared" si="16"/>
        <v>30.854022988505751</v>
      </c>
      <c r="N126" s="17">
        <f>SUM(B126:M126)</f>
        <v>859.36268286311406</v>
      </c>
    </row>
    <row r="127" spans="1:17" x14ac:dyDescent="0.25">
      <c r="A127" s="14" t="s">
        <v>39</v>
      </c>
      <c r="B127" s="17">
        <f>STDEV(B2:B123)</f>
        <v>25.812664440285754</v>
      </c>
      <c r="C127" s="17">
        <f t="shared" ref="C127:M127" si="17">STDEV(C2:C123)</f>
        <v>25.491088040489423</v>
      </c>
      <c r="D127" s="17">
        <f t="shared" si="17"/>
        <v>33.960602116003535</v>
      </c>
      <c r="E127" s="17">
        <f t="shared" si="17"/>
        <v>45.624096260784995</v>
      </c>
      <c r="F127" s="17">
        <f t="shared" si="17"/>
        <v>88.062408287509498</v>
      </c>
      <c r="G127" s="17">
        <f t="shared" si="17"/>
        <v>91.51141933870052</v>
      </c>
      <c r="H127" s="17">
        <f t="shared" si="17"/>
        <v>60.329617590539108</v>
      </c>
      <c r="I127" s="17">
        <f t="shared" si="17"/>
        <v>66.062325152825949</v>
      </c>
      <c r="J127" s="17">
        <f t="shared" si="17"/>
        <v>38.766260404331426</v>
      </c>
      <c r="K127" s="17">
        <f t="shared" si="17"/>
        <v>39.868329228697768</v>
      </c>
      <c r="L127" s="17">
        <f t="shared" si="17"/>
        <v>29.813329598669245</v>
      </c>
      <c r="M127" s="17">
        <f t="shared" si="17"/>
        <v>34.016561645550134</v>
      </c>
      <c r="N127" s="17">
        <f>SUM(B127:M127)</f>
        <v>579.3187021043874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A49E4-273F-4906-9D25-B5B0ADE8027D}">
  <dimension ref="A1:Q124"/>
  <sheetViews>
    <sheetView zoomScale="70" zoomScaleNormal="70" workbookViewId="0"/>
  </sheetViews>
  <sheetFormatPr defaultColWidth="11" defaultRowHeight="15" x14ac:dyDescent="0.25"/>
  <cols>
    <col min="2" max="4" width="5" bestFit="1" customWidth="1"/>
    <col min="5" max="5" width="4" bestFit="1" customWidth="1"/>
    <col min="6" max="6" width="4.5703125" bestFit="1" customWidth="1"/>
    <col min="7" max="7" width="4" bestFit="1" customWidth="1"/>
    <col min="8" max="8" width="5" bestFit="1" customWidth="1"/>
    <col min="9" max="10" width="4" bestFit="1" customWidth="1"/>
    <col min="11" max="13" width="5" bestFit="1" customWidth="1"/>
    <col min="14" max="17" width="12" bestFit="1" customWidth="1"/>
  </cols>
  <sheetData>
    <row r="1" spans="1:17" x14ac:dyDescent="0.25">
      <c r="A1" s="1" t="s">
        <v>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</row>
    <row r="3" spans="1:17" x14ac:dyDescent="0.25">
      <c r="A3">
        <v>1902</v>
      </c>
      <c r="N3" s="11" t="str">
        <f t="shared" ref="N3:N34" si="0">IF(AND(ISNUMBER(D3),ISNUMBER(E3),ISNUMBER(F3)),SUM(D3:F3),"")</f>
        <v/>
      </c>
      <c r="O3" s="11" t="str">
        <f t="shared" ref="O3:O66" si="1">IF(AND(ISNUMBER(G3),ISNUMBER(H3),ISNUMBER(I3)),SUM(G3:I3),"")</f>
        <v/>
      </c>
      <c r="P3" s="11" t="str">
        <f t="shared" ref="P3:P66" si="2">IF(AND(ISNUMBER(J3),ISNUMBER(K3),ISNUMBER(L3)),SUM(J3:L3),"")</f>
        <v/>
      </c>
      <c r="Q3" s="11" t="str">
        <f t="shared" ref="Q3:Q66" si="3">IF(AND(ISNUMBER(M3),ISNUMBER(B4),ISNUMBER(C4)),SUM(M3,B4:C4),"")</f>
        <v/>
      </c>
    </row>
    <row r="4" spans="1:17" x14ac:dyDescent="0.25">
      <c r="A4">
        <v>1903</v>
      </c>
      <c r="N4" s="11" t="str">
        <f t="shared" si="0"/>
        <v/>
      </c>
      <c r="O4" s="11" t="str">
        <f t="shared" si="1"/>
        <v/>
      </c>
      <c r="P4" s="11" t="str">
        <f t="shared" si="2"/>
        <v/>
      </c>
      <c r="Q4" s="11" t="str">
        <f t="shared" si="3"/>
        <v/>
      </c>
    </row>
    <row r="5" spans="1:17" x14ac:dyDescent="0.25">
      <c r="A5">
        <v>1904</v>
      </c>
      <c r="N5" s="11" t="str">
        <f t="shared" si="0"/>
        <v/>
      </c>
      <c r="O5" s="11" t="str">
        <f t="shared" si="1"/>
        <v/>
      </c>
      <c r="P5" s="11" t="str">
        <f t="shared" si="2"/>
        <v/>
      </c>
      <c r="Q5" s="11" t="str">
        <f t="shared" si="3"/>
        <v/>
      </c>
    </row>
    <row r="6" spans="1:17" x14ac:dyDescent="0.25">
      <c r="A6">
        <v>1905</v>
      </c>
      <c r="N6" s="11" t="str">
        <f t="shared" si="0"/>
        <v/>
      </c>
      <c r="O6" s="11" t="str">
        <f t="shared" si="1"/>
        <v/>
      </c>
      <c r="P6" s="11" t="str">
        <f t="shared" si="2"/>
        <v/>
      </c>
      <c r="Q6" s="11" t="str">
        <f t="shared" si="3"/>
        <v/>
      </c>
    </row>
    <row r="7" spans="1:17" x14ac:dyDescent="0.25">
      <c r="A7">
        <v>1906</v>
      </c>
      <c r="N7" s="11" t="str">
        <f t="shared" si="0"/>
        <v/>
      </c>
      <c r="O7" s="11" t="str">
        <f t="shared" si="1"/>
        <v/>
      </c>
      <c r="P7" s="11" t="str">
        <f t="shared" si="2"/>
        <v/>
      </c>
      <c r="Q7" s="11" t="str">
        <f t="shared" si="3"/>
        <v/>
      </c>
    </row>
    <row r="8" spans="1:17" x14ac:dyDescent="0.25">
      <c r="A8">
        <v>1907</v>
      </c>
      <c r="N8" s="11" t="str">
        <f t="shared" si="0"/>
        <v/>
      </c>
      <c r="O8" s="11" t="str">
        <f t="shared" si="1"/>
        <v/>
      </c>
      <c r="P8" s="11" t="str">
        <f t="shared" si="2"/>
        <v/>
      </c>
      <c r="Q8" s="11" t="str">
        <f t="shared" si="3"/>
        <v/>
      </c>
    </row>
    <row r="9" spans="1:17" x14ac:dyDescent="0.25">
      <c r="A9">
        <v>1908</v>
      </c>
      <c r="N9" s="11" t="str">
        <f t="shared" si="0"/>
        <v/>
      </c>
      <c r="O9" s="11" t="str">
        <f t="shared" si="1"/>
        <v/>
      </c>
      <c r="P9" s="11" t="str">
        <f t="shared" si="2"/>
        <v/>
      </c>
      <c r="Q9" s="11" t="str">
        <f t="shared" si="3"/>
        <v/>
      </c>
    </row>
    <row r="10" spans="1:17" x14ac:dyDescent="0.25">
      <c r="A10">
        <v>1909</v>
      </c>
      <c r="N10" s="11" t="str">
        <f t="shared" si="0"/>
        <v/>
      </c>
      <c r="O10" s="11" t="str">
        <f t="shared" si="1"/>
        <v/>
      </c>
      <c r="P10" s="11" t="str">
        <f t="shared" si="2"/>
        <v/>
      </c>
      <c r="Q10" s="11" t="str">
        <f t="shared" si="3"/>
        <v/>
      </c>
    </row>
    <row r="11" spans="1:17" x14ac:dyDescent="0.25">
      <c r="A11">
        <v>1910</v>
      </c>
      <c r="N11" s="11" t="str">
        <f t="shared" si="0"/>
        <v/>
      </c>
      <c r="O11" s="11" t="str">
        <f t="shared" si="1"/>
        <v/>
      </c>
      <c r="P11" s="11" t="str">
        <f t="shared" si="2"/>
        <v/>
      </c>
      <c r="Q11" s="11" t="str">
        <f t="shared" si="3"/>
        <v/>
      </c>
    </row>
    <row r="12" spans="1:17" x14ac:dyDescent="0.25">
      <c r="A12">
        <v>1911</v>
      </c>
      <c r="N12" s="11" t="str">
        <f t="shared" si="0"/>
        <v/>
      </c>
      <c r="O12" s="11" t="str">
        <f t="shared" si="1"/>
        <v/>
      </c>
      <c r="P12" s="11" t="str">
        <f t="shared" si="2"/>
        <v/>
      </c>
      <c r="Q12" s="11" t="str">
        <f t="shared" si="3"/>
        <v/>
      </c>
    </row>
    <row r="13" spans="1:17" x14ac:dyDescent="0.25">
      <c r="A13">
        <v>1912</v>
      </c>
      <c r="N13" s="11" t="str">
        <f t="shared" si="0"/>
        <v/>
      </c>
      <c r="O13" s="11" t="str">
        <f t="shared" si="1"/>
        <v/>
      </c>
      <c r="P13" s="11" t="str">
        <f t="shared" si="2"/>
        <v/>
      </c>
      <c r="Q13" s="11" t="str">
        <f t="shared" si="3"/>
        <v/>
      </c>
    </row>
    <row r="14" spans="1:17" x14ac:dyDescent="0.25">
      <c r="A14">
        <v>1913</v>
      </c>
      <c r="N14" s="11" t="str">
        <f t="shared" si="0"/>
        <v/>
      </c>
      <c r="O14" s="11" t="str">
        <f t="shared" si="1"/>
        <v/>
      </c>
      <c r="P14" s="11" t="str">
        <f t="shared" si="2"/>
        <v/>
      </c>
      <c r="Q14" s="11" t="str">
        <f t="shared" si="3"/>
        <v/>
      </c>
    </row>
    <row r="15" spans="1:17" x14ac:dyDescent="0.25">
      <c r="A15">
        <v>1914</v>
      </c>
      <c r="N15" s="11" t="str">
        <f t="shared" si="0"/>
        <v/>
      </c>
      <c r="O15" s="11" t="str">
        <f t="shared" si="1"/>
        <v/>
      </c>
      <c r="P15" s="11" t="str">
        <f t="shared" si="2"/>
        <v/>
      </c>
      <c r="Q15" s="11" t="str">
        <f t="shared" si="3"/>
        <v/>
      </c>
    </row>
    <row r="16" spans="1:17" x14ac:dyDescent="0.25">
      <c r="A16">
        <v>1915</v>
      </c>
      <c r="N16" s="11" t="str">
        <f t="shared" si="0"/>
        <v/>
      </c>
      <c r="O16" s="11" t="str">
        <f t="shared" si="1"/>
        <v/>
      </c>
      <c r="P16" s="11" t="str">
        <f t="shared" si="2"/>
        <v/>
      </c>
      <c r="Q16" s="11" t="str">
        <f t="shared" si="3"/>
        <v/>
      </c>
    </row>
    <row r="17" spans="1:17" x14ac:dyDescent="0.25">
      <c r="A17">
        <v>1916</v>
      </c>
      <c r="N17" s="11" t="str">
        <f t="shared" si="0"/>
        <v/>
      </c>
      <c r="O17" s="11" t="str">
        <f t="shared" si="1"/>
        <v/>
      </c>
      <c r="P17" s="11" t="str">
        <f t="shared" si="2"/>
        <v/>
      </c>
      <c r="Q17" s="11" t="str">
        <f t="shared" si="3"/>
        <v/>
      </c>
    </row>
    <row r="18" spans="1:17" x14ac:dyDescent="0.25">
      <c r="A18">
        <v>1917</v>
      </c>
      <c r="N18" s="11" t="str">
        <f t="shared" si="0"/>
        <v/>
      </c>
      <c r="O18" s="11" t="str">
        <f t="shared" si="1"/>
        <v/>
      </c>
      <c r="P18" s="11" t="str">
        <f t="shared" si="2"/>
        <v/>
      </c>
      <c r="Q18" s="11" t="str">
        <f t="shared" si="3"/>
        <v/>
      </c>
    </row>
    <row r="19" spans="1:17" x14ac:dyDescent="0.25">
      <c r="A19">
        <v>1918</v>
      </c>
      <c r="N19" s="11" t="str">
        <f t="shared" si="0"/>
        <v/>
      </c>
      <c r="O19" s="11" t="str">
        <f t="shared" si="1"/>
        <v/>
      </c>
      <c r="P19" s="11" t="str">
        <f t="shared" si="2"/>
        <v/>
      </c>
      <c r="Q19" s="11" t="str">
        <f t="shared" si="3"/>
        <v/>
      </c>
    </row>
    <row r="20" spans="1:17" x14ac:dyDescent="0.25">
      <c r="A20">
        <v>1919</v>
      </c>
      <c r="N20" s="11" t="str">
        <f t="shared" si="0"/>
        <v/>
      </c>
      <c r="O20" s="11" t="str">
        <f t="shared" si="1"/>
        <v/>
      </c>
      <c r="P20" s="11" t="str">
        <f t="shared" si="2"/>
        <v/>
      </c>
      <c r="Q20" s="11" t="str">
        <f t="shared" si="3"/>
        <v/>
      </c>
    </row>
    <row r="21" spans="1:17" x14ac:dyDescent="0.25">
      <c r="A21">
        <v>1920</v>
      </c>
      <c r="N21" s="11" t="str">
        <f t="shared" si="0"/>
        <v/>
      </c>
      <c r="O21" s="11" t="str">
        <f t="shared" si="1"/>
        <v/>
      </c>
      <c r="P21" s="11" t="str">
        <f t="shared" si="2"/>
        <v/>
      </c>
      <c r="Q21" s="11" t="str">
        <f t="shared" si="3"/>
        <v/>
      </c>
    </row>
    <row r="22" spans="1:17" x14ac:dyDescent="0.25">
      <c r="A22">
        <v>1921</v>
      </c>
      <c r="N22" s="11" t="str">
        <f t="shared" si="0"/>
        <v/>
      </c>
      <c r="O22" s="11" t="str">
        <f t="shared" si="1"/>
        <v/>
      </c>
      <c r="P22" s="11" t="str">
        <f t="shared" si="2"/>
        <v/>
      </c>
      <c r="Q22" s="11" t="str">
        <f t="shared" si="3"/>
        <v/>
      </c>
    </row>
    <row r="23" spans="1:17" x14ac:dyDescent="0.25">
      <c r="A23">
        <v>1922</v>
      </c>
      <c r="N23" s="11" t="str">
        <f t="shared" si="0"/>
        <v/>
      </c>
      <c r="O23" s="11" t="str">
        <f t="shared" si="1"/>
        <v/>
      </c>
      <c r="P23" s="11" t="str">
        <f t="shared" si="2"/>
        <v/>
      </c>
      <c r="Q23" s="11" t="str">
        <f t="shared" si="3"/>
        <v/>
      </c>
    </row>
    <row r="24" spans="1:17" x14ac:dyDescent="0.25">
      <c r="A24">
        <v>1923</v>
      </c>
      <c r="N24" s="11" t="str">
        <f t="shared" si="0"/>
        <v/>
      </c>
      <c r="O24" s="11" t="str">
        <f t="shared" si="1"/>
        <v/>
      </c>
      <c r="P24" s="11" t="str">
        <f t="shared" si="2"/>
        <v/>
      </c>
      <c r="Q24" s="11" t="str">
        <f t="shared" si="3"/>
        <v/>
      </c>
    </row>
    <row r="25" spans="1:17" x14ac:dyDescent="0.25">
      <c r="A25">
        <v>1924</v>
      </c>
      <c r="N25" s="11" t="str">
        <f t="shared" si="0"/>
        <v/>
      </c>
      <c r="O25" s="11" t="str">
        <f t="shared" si="1"/>
        <v/>
      </c>
      <c r="P25" s="11" t="str">
        <f t="shared" si="2"/>
        <v/>
      </c>
      <c r="Q25" s="11" t="str">
        <f t="shared" si="3"/>
        <v/>
      </c>
    </row>
    <row r="26" spans="1:17" x14ac:dyDescent="0.25">
      <c r="A26">
        <v>1925</v>
      </c>
      <c r="N26" s="11" t="str">
        <f t="shared" si="0"/>
        <v/>
      </c>
      <c r="O26" s="11" t="str">
        <f t="shared" si="1"/>
        <v/>
      </c>
      <c r="P26" s="11" t="str">
        <f t="shared" si="2"/>
        <v/>
      </c>
      <c r="Q26" s="11" t="str">
        <f t="shared" si="3"/>
        <v/>
      </c>
    </row>
    <row r="27" spans="1:17" x14ac:dyDescent="0.25">
      <c r="A27">
        <v>1926</v>
      </c>
      <c r="N27" s="11" t="str">
        <f t="shared" si="0"/>
        <v/>
      </c>
      <c r="O27" s="11" t="str">
        <f t="shared" si="1"/>
        <v/>
      </c>
      <c r="P27" s="11" t="str">
        <f t="shared" si="2"/>
        <v/>
      </c>
      <c r="Q27" s="11" t="str">
        <f t="shared" si="3"/>
        <v/>
      </c>
    </row>
    <row r="28" spans="1:17" x14ac:dyDescent="0.25">
      <c r="A28">
        <v>1927</v>
      </c>
      <c r="N28" s="11" t="str">
        <f t="shared" si="0"/>
        <v/>
      </c>
      <c r="O28" s="11" t="str">
        <f t="shared" si="1"/>
        <v/>
      </c>
      <c r="P28" s="11" t="str">
        <f t="shared" si="2"/>
        <v/>
      </c>
      <c r="Q28" s="11" t="str">
        <f t="shared" si="3"/>
        <v/>
      </c>
    </row>
    <row r="29" spans="1:17" x14ac:dyDescent="0.25">
      <c r="A29">
        <v>1928</v>
      </c>
      <c r="N29" s="11" t="str">
        <f t="shared" si="0"/>
        <v/>
      </c>
      <c r="O29" s="11" t="str">
        <f t="shared" si="1"/>
        <v/>
      </c>
      <c r="P29" s="11" t="str">
        <f t="shared" si="2"/>
        <v/>
      </c>
      <c r="Q29" s="11" t="str">
        <f t="shared" si="3"/>
        <v/>
      </c>
    </row>
    <row r="30" spans="1:17" x14ac:dyDescent="0.25">
      <c r="A30">
        <v>1929</v>
      </c>
      <c r="N30" s="11" t="str">
        <f t="shared" si="0"/>
        <v/>
      </c>
      <c r="O30" s="11" t="str">
        <f t="shared" si="1"/>
        <v/>
      </c>
      <c r="P30" s="11" t="str">
        <f t="shared" si="2"/>
        <v/>
      </c>
      <c r="Q30" s="11" t="str">
        <f t="shared" si="3"/>
        <v/>
      </c>
    </row>
    <row r="31" spans="1:17" x14ac:dyDescent="0.25">
      <c r="A31">
        <v>1930</v>
      </c>
      <c r="N31" s="11" t="str">
        <f t="shared" si="0"/>
        <v/>
      </c>
      <c r="O31" s="11" t="str">
        <f t="shared" si="1"/>
        <v/>
      </c>
      <c r="P31" s="11" t="str">
        <f t="shared" si="2"/>
        <v/>
      </c>
      <c r="Q31" s="11" t="str">
        <f t="shared" si="3"/>
        <v/>
      </c>
    </row>
    <row r="32" spans="1:17" x14ac:dyDescent="0.25">
      <c r="A32">
        <v>1931</v>
      </c>
      <c r="N32" s="11" t="str">
        <f t="shared" si="0"/>
        <v/>
      </c>
      <c r="O32" s="11" t="str">
        <f t="shared" si="1"/>
        <v/>
      </c>
      <c r="P32" s="11" t="str">
        <f t="shared" si="2"/>
        <v/>
      </c>
      <c r="Q32" s="11" t="str">
        <f t="shared" si="3"/>
        <v/>
      </c>
    </row>
    <row r="33" spans="1:17" x14ac:dyDescent="0.25">
      <c r="A33">
        <v>1932</v>
      </c>
      <c r="N33" s="11" t="str">
        <f t="shared" si="0"/>
        <v/>
      </c>
      <c r="O33" s="11" t="str">
        <f t="shared" si="1"/>
        <v/>
      </c>
      <c r="P33" s="11" t="str">
        <f t="shared" si="2"/>
        <v/>
      </c>
      <c r="Q33" s="11" t="str">
        <f t="shared" si="3"/>
        <v/>
      </c>
    </row>
    <row r="34" spans="1:17" x14ac:dyDescent="0.25">
      <c r="A34">
        <v>1933</v>
      </c>
      <c r="N34" s="11" t="str">
        <f t="shared" si="0"/>
        <v/>
      </c>
      <c r="O34" s="11" t="str">
        <f t="shared" si="1"/>
        <v/>
      </c>
      <c r="P34" s="11" t="str">
        <f t="shared" si="2"/>
        <v/>
      </c>
      <c r="Q34" s="11" t="str">
        <f t="shared" si="3"/>
        <v/>
      </c>
    </row>
    <row r="35" spans="1:17" x14ac:dyDescent="0.25">
      <c r="A35">
        <v>1934</v>
      </c>
      <c r="N35" s="11" t="str">
        <f t="shared" ref="N35:N98" si="4">IF(AND(ISNUMBER(D35),ISNUMBER(E35),ISNUMBER(F35)),SUM(D35:F35),"")</f>
        <v/>
      </c>
      <c r="O35" s="11" t="str">
        <f t="shared" si="1"/>
        <v/>
      </c>
      <c r="P35" s="11" t="str">
        <f t="shared" si="2"/>
        <v/>
      </c>
      <c r="Q35" s="11" t="str">
        <f t="shared" si="3"/>
        <v/>
      </c>
    </row>
    <row r="36" spans="1:17" x14ac:dyDescent="0.25">
      <c r="A36">
        <v>1935</v>
      </c>
      <c r="N36" s="11" t="str">
        <f t="shared" si="4"/>
        <v/>
      </c>
      <c r="O36" s="11" t="str">
        <f t="shared" si="1"/>
        <v/>
      </c>
      <c r="P36" s="11" t="str">
        <f t="shared" si="2"/>
        <v/>
      </c>
      <c r="Q36" s="11" t="str">
        <f t="shared" si="3"/>
        <v/>
      </c>
    </row>
    <row r="37" spans="1:17" x14ac:dyDescent="0.25">
      <c r="A37">
        <v>1936</v>
      </c>
      <c r="N37" s="11" t="str">
        <f t="shared" si="4"/>
        <v/>
      </c>
      <c r="O37" s="11" t="str">
        <f t="shared" si="1"/>
        <v/>
      </c>
      <c r="P37" s="11" t="str">
        <f t="shared" si="2"/>
        <v/>
      </c>
      <c r="Q37" s="11" t="str">
        <f t="shared" si="3"/>
        <v/>
      </c>
    </row>
    <row r="38" spans="1:17" x14ac:dyDescent="0.25">
      <c r="A38">
        <v>1937</v>
      </c>
      <c r="N38" s="11" t="str">
        <f t="shared" si="4"/>
        <v/>
      </c>
      <c r="O38" s="11" t="str">
        <f t="shared" si="1"/>
        <v/>
      </c>
      <c r="P38" s="11" t="str">
        <f t="shared" si="2"/>
        <v/>
      </c>
      <c r="Q38" s="11" t="str">
        <f t="shared" si="3"/>
        <v/>
      </c>
    </row>
    <row r="39" spans="1:17" x14ac:dyDescent="0.25">
      <c r="A39">
        <v>1938</v>
      </c>
      <c r="N39" s="11" t="str">
        <f t="shared" si="4"/>
        <v/>
      </c>
      <c r="O39" s="11" t="str">
        <f t="shared" si="1"/>
        <v/>
      </c>
      <c r="P39" s="11" t="str">
        <f t="shared" si="2"/>
        <v/>
      </c>
      <c r="Q39" s="11" t="str">
        <f t="shared" si="3"/>
        <v/>
      </c>
    </row>
    <row r="40" spans="1:17" x14ac:dyDescent="0.25">
      <c r="A40">
        <v>1939</v>
      </c>
      <c r="N40" s="11" t="str">
        <f t="shared" si="4"/>
        <v/>
      </c>
      <c r="O40" s="11" t="str">
        <f t="shared" si="1"/>
        <v/>
      </c>
      <c r="P40" s="11" t="str">
        <f t="shared" si="2"/>
        <v/>
      </c>
      <c r="Q40" s="11" t="str">
        <f t="shared" si="3"/>
        <v/>
      </c>
    </row>
    <row r="41" spans="1:17" x14ac:dyDescent="0.25">
      <c r="A41">
        <v>1940</v>
      </c>
      <c r="N41" s="11" t="str">
        <f t="shared" si="4"/>
        <v/>
      </c>
      <c r="O41" s="11" t="str">
        <f t="shared" si="1"/>
        <v/>
      </c>
      <c r="P41" s="11" t="str">
        <f t="shared" si="2"/>
        <v/>
      </c>
      <c r="Q41" s="11" t="str">
        <f t="shared" si="3"/>
        <v/>
      </c>
    </row>
    <row r="42" spans="1:17" x14ac:dyDescent="0.25">
      <c r="A42">
        <v>1941</v>
      </c>
      <c r="N42" s="11" t="str">
        <f t="shared" si="4"/>
        <v/>
      </c>
      <c r="O42" s="11" t="str">
        <f t="shared" si="1"/>
        <v/>
      </c>
      <c r="P42" s="11" t="str">
        <f t="shared" si="2"/>
        <v/>
      </c>
      <c r="Q42" s="11" t="str">
        <f t="shared" si="3"/>
        <v/>
      </c>
    </row>
    <row r="43" spans="1:17" x14ac:dyDescent="0.25">
      <c r="A43">
        <v>1942</v>
      </c>
      <c r="N43" s="11" t="str">
        <f t="shared" si="4"/>
        <v/>
      </c>
      <c r="O43" s="11" t="str">
        <f t="shared" si="1"/>
        <v/>
      </c>
      <c r="P43" s="11" t="str">
        <f t="shared" si="2"/>
        <v/>
      </c>
      <c r="Q43" s="11" t="str">
        <f t="shared" si="3"/>
        <v/>
      </c>
    </row>
    <row r="44" spans="1:17" x14ac:dyDescent="0.25">
      <c r="A44">
        <v>1943</v>
      </c>
      <c r="N44" s="11" t="str">
        <f t="shared" si="4"/>
        <v/>
      </c>
      <c r="O44" s="11" t="str">
        <f t="shared" si="1"/>
        <v/>
      </c>
      <c r="P44" s="11" t="str">
        <f t="shared" si="2"/>
        <v/>
      </c>
      <c r="Q44" s="11" t="str">
        <f t="shared" si="3"/>
        <v/>
      </c>
    </row>
    <row r="45" spans="1:17" x14ac:dyDescent="0.25">
      <c r="A45">
        <v>1944</v>
      </c>
      <c r="N45" s="11" t="str">
        <f t="shared" si="4"/>
        <v/>
      </c>
      <c r="O45" s="11" t="str">
        <f t="shared" si="1"/>
        <v/>
      </c>
      <c r="P45" s="11" t="str">
        <f t="shared" si="2"/>
        <v/>
      </c>
      <c r="Q45" s="11" t="str">
        <f t="shared" si="3"/>
        <v/>
      </c>
    </row>
    <row r="46" spans="1:17" x14ac:dyDescent="0.25">
      <c r="A46">
        <v>1945</v>
      </c>
      <c r="N46" s="11" t="str">
        <f t="shared" si="4"/>
        <v/>
      </c>
      <c r="O46" s="11" t="str">
        <f t="shared" si="1"/>
        <v/>
      </c>
      <c r="P46" s="11" t="str">
        <f t="shared" si="2"/>
        <v/>
      </c>
      <c r="Q46" s="11" t="str">
        <f t="shared" si="3"/>
        <v/>
      </c>
    </row>
    <row r="47" spans="1:17" x14ac:dyDescent="0.25">
      <c r="A47">
        <v>1946</v>
      </c>
      <c r="N47" s="11" t="str">
        <f t="shared" si="4"/>
        <v/>
      </c>
      <c r="O47" s="11" t="str">
        <f t="shared" si="1"/>
        <v/>
      </c>
      <c r="P47" s="11" t="str">
        <f t="shared" si="2"/>
        <v/>
      </c>
      <c r="Q47" s="11" t="str">
        <f t="shared" si="3"/>
        <v/>
      </c>
    </row>
    <row r="48" spans="1:17" x14ac:dyDescent="0.25">
      <c r="A48">
        <v>1947</v>
      </c>
      <c r="N48" s="11" t="str">
        <f t="shared" si="4"/>
        <v/>
      </c>
      <c r="O48" s="11" t="str">
        <f t="shared" si="1"/>
        <v/>
      </c>
      <c r="P48" s="11" t="str">
        <f t="shared" si="2"/>
        <v/>
      </c>
      <c r="Q48" s="11" t="str">
        <f t="shared" si="3"/>
        <v/>
      </c>
    </row>
    <row r="49" spans="1:17" x14ac:dyDescent="0.25">
      <c r="A49">
        <v>1948</v>
      </c>
      <c r="N49" s="11" t="str">
        <f t="shared" si="4"/>
        <v/>
      </c>
      <c r="O49" s="11" t="str">
        <f t="shared" si="1"/>
        <v/>
      </c>
      <c r="P49" s="11" t="str">
        <f t="shared" si="2"/>
        <v/>
      </c>
      <c r="Q49" s="11" t="str">
        <f t="shared" si="3"/>
        <v/>
      </c>
    </row>
    <row r="50" spans="1:17" x14ac:dyDescent="0.25">
      <c r="A50">
        <v>1949</v>
      </c>
      <c r="N50" s="11" t="str">
        <f t="shared" si="4"/>
        <v/>
      </c>
      <c r="O50" s="11" t="str">
        <f t="shared" si="1"/>
        <v/>
      </c>
      <c r="P50" s="11" t="str">
        <f t="shared" si="2"/>
        <v/>
      </c>
      <c r="Q50" s="11" t="str">
        <f t="shared" si="3"/>
        <v/>
      </c>
    </row>
    <row r="51" spans="1:17" x14ac:dyDescent="0.25">
      <c r="A51">
        <v>1950</v>
      </c>
      <c r="B51" s="12">
        <v>1.913071</v>
      </c>
      <c r="C51" s="12">
        <v>5.4340359999999999</v>
      </c>
      <c r="D51" s="12">
        <v>3.470421</v>
      </c>
      <c r="E51" s="12">
        <v>7.2364810000000004</v>
      </c>
      <c r="F51" s="12">
        <v>11.11031</v>
      </c>
      <c r="G51" s="12">
        <v>13.83018</v>
      </c>
      <c r="H51" s="12">
        <v>6.8206790000000002</v>
      </c>
      <c r="I51" s="12">
        <v>10.057449999999999</v>
      </c>
      <c r="J51" s="12">
        <v>4.2152399999999997</v>
      </c>
      <c r="K51" s="12">
        <v>2.9239649999999999</v>
      </c>
      <c r="L51" s="12">
        <v>2.305984</v>
      </c>
      <c r="M51" s="12">
        <v>3.90625</v>
      </c>
      <c r="N51" s="11">
        <f t="shared" si="4"/>
        <v>21.817211999999998</v>
      </c>
      <c r="O51" s="11">
        <f t="shared" si="1"/>
        <v>30.708309</v>
      </c>
      <c r="P51" s="11">
        <f t="shared" si="2"/>
        <v>9.4451889999999992</v>
      </c>
      <c r="Q51" s="11">
        <f t="shared" si="3"/>
        <v>8.0833440000000003</v>
      </c>
    </row>
    <row r="52" spans="1:17" x14ac:dyDescent="0.25">
      <c r="A52">
        <v>1951</v>
      </c>
      <c r="B52" s="12">
        <v>2.4280550000000001</v>
      </c>
      <c r="C52" s="12">
        <v>1.749039</v>
      </c>
      <c r="D52" s="12">
        <v>5.6724550000000002</v>
      </c>
      <c r="E52" s="12">
        <v>2.0389560000000002</v>
      </c>
      <c r="F52" s="12">
        <v>14.93263</v>
      </c>
      <c r="G52" s="12">
        <v>5.5274960000000002</v>
      </c>
      <c r="H52" s="12">
        <v>9.3441010000000002</v>
      </c>
      <c r="I52" s="12">
        <v>12.157439999999999</v>
      </c>
      <c r="J52" s="12">
        <v>8.0947879999999994</v>
      </c>
      <c r="K52" s="12">
        <v>7.6179500000000004</v>
      </c>
      <c r="L52" s="12">
        <v>9.9964139999999997</v>
      </c>
      <c r="M52" s="12">
        <v>3.6811829999999999</v>
      </c>
      <c r="N52" s="11">
        <f t="shared" si="4"/>
        <v>22.644041000000001</v>
      </c>
      <c r="O52" s="11">
        <f t="shared" si="1"/>
        <v>27.029037000000002</v>
      </c>
      <c r="P52" s="11">
        <f t="shared" si="2"/>
        <v>25.709152</v>
      </c>
      <c r="Q52" s="11">
        <f t="shared" si="3"/>
        <v>12.559891</v>
      </c>
    </row>
    <row r="53" spans="1:17" x14ac:dyDescent="0.25">
      <c r="A53">
        <v>1952</v>
      </c>
      <c r="B53" s="12">
        <v>6.4487459999999999</v>
      </c>
      <c r="C53" s="12">
        <v>2.4299620000000002</v>
      </c>
      <c r="D53" s="12">
        <v>2.6340479999999999</v>
      </c>
      <c r="E53" s="12">
        <v>4.5509339999999998</v>
      </c>
      <c r="F53" s="12">
        <v>7.4005130000000001</v>
      </c>
      <c r="G53" s="12">
        <v>11.45172</v>
      </c>
      <c r="H53" s="12">
        <v>5.0506589999999996</v>
      </c>
      <c r="I53" s="12">
        <v>3.5285950000000001</v>
      </c>
      <c r="J53" s="12">
        <v>4.0912629999999996</v>
      </c>
      <c r="K53" s="12">
        <v>6.372452</v>
      </c>
      <c r="L53" s="12">
        <v>0.87928770000000001</v>
      </c>
      <c r="M53" s="12">
        <v>0.79917899999999997</v>
      </c>
      <c r="N53" s="11">
        <f t="shared" si="4"/>
        <v>14.585495</v>
      </c>
      <c r="O53" s="11">
        <f t="shared" si="1"/>
        <v>20.030973999999997</v>
      </c>
      <c r="P53" s="11">
        <f t="shared" si="2"/>
        <v>11.343002700000001</v>
      </c>
      <c r="Q53" s="11">
        <f t="shared" si="3"/>
        <v>8.6593619999999998</v>
      </c>
    </row>
    <row r="54" spans="1:17" x14ac:dyDescent="0.25">
      <c r="A54">
        <v>1953</v>
      </c>
      <c r="B54" s="12">
        <v>4.7340390000000001</v>
      </c>
      <c r="C54" s="12">
        <v>3.126144</v>
      </c>
      <c r="D54" s="12">
        <v>2.5539399999999999</v>
      </c>
      <c r="E54" s="12">
        <v>4.4612879999999997</v>
      </c>
      <c r="F54" s="12">
        <v>14.446260000000001</v>
      </c>
      <c r="G54" s="12">
        <v>8.4228520000000007</v>
      </c>
      <c r="H54" s="12">
        <v>12.84981</v>
      </c>
      <c r="I54" s="12">
        <v>10.13374</v>
      </c>
      <c r="J54" s="12">
        <v>5.3939820000000003</v>
      </c>
      <c r="K54" s="12">
        <v>3.8375849999999998</v>
      </c>
      <c r="L54" s="12">
        <v>2.1495820000000001</v>
      </c>
      <c r="M54" s="12">
        <v>1.5850070000000001</v>
      </c>
      <c r="N54" s="11">
        <f t="shared" si="4"/>
        <v>21.461487999999999</v>
      </c>
      <c r="O54" s="11">
        <f t="shared" si="1"/>
        <v>31.406402</v>
      </c>
      <c r="P54" s="11">
        <f t="shared" si="2"/>
        <v>11.381149000000001</v>
      </c>
      <c r="Q54" s="11">
        <f t="shared" si="3"/>
        <v>8.6641320000000004</v>
      </c>
    </row>
    <row r="55" spans="1:17" x14ac:dyDescent="0.25">
      <c r="A55">
        <v>1954</v>
      </c>
      <c r="B55" s="12">
        <v>3.9100649999999999</v>
      </c>
      <c r="C55" s="12">
        <v>3.16906</v>
      </c>
      <c r="D55" s="12">
        <v>5.38063</v>
      </c>
      <c r="E55" s="12">
        <v>6.6776280000000003</v>
      </c>
      <c r="F55" s="12">
        <v>8.5697170000000007</v>
      </c>
      <c r="G55" s="12">
        <v>10.53619</v>
      </c>
      <c r="H55" s="12">
        <v>8.415222</v>
      </c>
      <c r="I55" s="12">
        <v>9.8762509999999999</v>
      </c>
      <c r="J55" s="12">
        <v>2.756119</v>
      </c>
      <c r="K55" s="12">
        <v>2.6340479999999999</v>
      </c>
      <c r="L55" s="12">
        <v>2.2525789999999999</v>
      </c>
      <c r="M55" s="12">
        <v>7.3308939999999998</v>
      </c>
      <c r="N55" s="11">
        <f t="shared" si="4"/>
        <v>20.627974999999999</v>
      </c>
      <c r="O55" s="11">
        <f t="shared" si="1"/>
        <v>28.827662999999998</v>
      </c>
      <c r="P55" s="11">
        <f t="shared" si="2"/>
        <v>7.6427459999999998</v>
      </c>
      <c r="Q55" s="11">
        <f t="shared" si="3"/>
        <v>11.416435</v>
      </c>
    </row>
    <row r="56" spans="1:17" x14ac:dyDescent="0.25">
      <c r="A56">
        <v>1955</v>
      </c>
      <c r="B56" s="12">
        <v>1.7309190000000001</v>
      </c>
      <c r="C56" s="12">
        <v>2.354622</v>
      </c>
      <c r="D56" s="12">
        <v>2.6283259999999999</v>
      </c>
      <c r="E56" s="12">
        <v>3.9100649999999999</v>
      </c>
      <c r="F56" s="12">
        <v>7.8754419999999996</v>
      </c>
      <c r="G56" s="12">
        <v>12.19749</v>
      </c>
      <c r="H56" s="12">
        <v>10.40077</v>
      </c>
      <c r="I56" s="12">
        <v>7.9479220000000002</v>
      </c>
      <c r="J56" s="12">
        <v>3.0422210000000001</v>
      </c>
      <c r="K56" s="12">
        <v>1.615524</v>
      </c>
      <c r="L56" s="12">
        <v>3.4542079999999999</v>
      </c>
      <c r="M56" s="12">
        <v>7.7304839999999997</v>
      </c>
      <c r="N56" s="11">
        <f t="shared" si="4"/>
        <v>14.413833</v>
      </c>
      <c r="O56" s="11">
        <f t="shared" si="1"/>
        <v>30.546182000000002</v>
      </c>
      <c r="P56" s="11">
        <f t="shared" si="2"/>
        <v>8.1119529999999997</v>
      </c>
      <c r="Q56" s="11">
        <f t="shared" si="3"/>
        <v>13.440131999999998</v>
      </c>
    </row>
    <row r="57" spans="1:17" x14ac:dyDescent="0.25">
      <c r="A57">
        <v>1956</v>
      </c>
      <c r="B57" s="12">
        <v>3.8652419999999998</v>
      </c>
      <c r="C57" s="12">
        <v>1.844406</v>
      </c>
      <c r="D57" s="12">
        <v>3.7155149999999999</v>
      </c>
      <c r="E57" s="12">
        <v>4.6386719999999997</v>
      </c>
      <c r="F57" s="12">
        <v>2.9582980000000001</v>
      </c>
      <c r="G57" s="12">
        <v>5.1136020000000002</v>
      </c>
      <c r="H57" s="12">
        <v>8.2015989999999999</v>
      </c>
      <c r="I57" s="12">
        <v>4.9686430000000001</v>
      </c>
      <c r="J57" s="12">
        <v>13.15117</v>
      </c>
      <c r="K57" s="12">
        <v>3.7994379999999999</v>
      </c>
      <c r="L57" s="12">
        <v>1.9683839999999999</v>
      </c>
      <c r="M57" s="12">
        <v>2.0523069999999999</v>
      </c>
      <c r="N57" s="11">
        <f t="shared" si="4"/>
        <v>11.312484999999999</v>
      </c>
      <c r="O57" s="11">
        <f t="shared" si="1"/>
        <v>18.283844000000002</v>
      </c>
      <c r="P57" s="11">
        <f t="shared" si="2"/>
        <v>18.918991999999999</v>
      </c>
      <c r="Q57" s="11">
        <f t="shared" si="3"/>
        <v>5.6324009999999998</v>
      </c>
    </row>
    <row r="58" spans="1:17" x14ac:dyDescent="0.25">
      <c r="A58">
        <v>1957</v>
      </c>
      <c r="B58" s="12">
        <v>2.5157929999999999</v>
      </c>
      <c r="C58" s="12">
        <v>1.0643009999999999</v>
      </c>
      <c r="D58" s="12">
        <v>2.1448140000000002</v>
      </c>
      <c r="E58" s="12">
        <v>1.1806490000000001</v>
      </c>
      <c r="F58" s="12">
        <v>13.31329</v>
      </c>
      <c r="G58" s="12">
        <v>4.8484800000000003</v>
      </c>
      <c r="H58" s="12">
        <v>9.3383789999999998</v>
      </c>
      <c r="I58" s="12">
        <v>10.85281</v>
      </c>
      <c r="J58" s="12">
        <v>3.576279</v>
      </c>
      <c r="K58" s="12">
        <v>4.3125150000000003</v>
      </c>
      <c r="L58" s="12">
        <v>1.5163420000000001</v>
      </c>
      <c r="M58" s="12">
        <v>2.4127960000000002</v>
      </c>
      <c r="N58" s="11">
        <f t="shared" si="4"/>
        <v>16.638753000000001</v>
      </c>
      <c r="O58" s="11">
        <f t="shared" si="1"/>
        <v>25.039669</v>
      </c>
      <c r="P58" s="11">
        <f t="shared" si="2"/>
        <v>9.4051360000000006</v>
      </c>
      <c r="Q58" s="11">
        <f t="shared" si="3"/>
        <v>5.0258630000000002</v>
      </c>
    </row>
    <row r="59" spans="1:17" x14ac:dyDescent="0.25">
      <c r="A59">
        <v>1958</v>
      </c>
      <c r="B59" s="12">
        <v>1.4305110000000001</v>
      </c>
      <c r="C59" s="12">
        <v>1.1825559999999999</v>
      </c>
      <c r="D59" s="12">
        <v>1.291275</v>
      </c>
      <c r="E59" s="12">
        <v>5.1059720000000004</v>
      </c>
      <c r="F59" s="12">
        <v>7.9441069999999998</v>
      </c>
      <c r="G59" s="12">
        <v>11.52802</v>
      </c>
      <c r="H59" s="12">
        <v>13.54599</v>
      </c>
      <c r="I59" s="12">
        <v>10.845179999999999</v>
      </c>
      <c r="J59" s="12">
        <v>7.110595</v>
      </c>
      <c r="K59" s="12">
        <v>1.6498569999999999</v>
      </c>
      <c r="L59" s="12">
        <v>5.3615570000000004</v>
      </c>
      <c r="M59" s="12">
        <v>2.2811889999999999</v>
      </c>
      <c r="N59" s="11">
        <f t="shared" si="4"/>
        <v>14.341353999999999</v>
      </c>
      <c r="O59" s="11">
        <f t="shared" si="1"/>
        <v>35.91919</v>
      </c>
      <c r="P59" s="11">
        <f t="shared" si="2"/>
        <v>14.122009000000002</v>
      </c>
      <c r="Q59" s="11">
        <f t="shared" si="3"/>
        <v>6.2980645000000006</v>
      </c>
    </row>
    <row r="60" spans="1:17" x14ac:dyDescent="0.25">
      <c r="A60">
        <v>1959</v>
      </c>
      <c r="B60" s="12">
        <v>3.0345909999999998</v>
      </c>
      <c r="C60" s="12">
        <v>0.9822845</v>
      </c>
      <c r="D60" s="12">
        <v>2.8762819999999998</v>
      </c>
      <c r="E60" s="12">
        <v>6.0768129999999996</v>
      </c>
      <c r="F60" s="12">
        <v>8.5239410000000007</v>
      </c>
      <c r="G60" s="12">
        <v>6.5917969999999997</v>
      </c>
      <c r="H60" s="12">
        <v>8.3770749999999996</v>
      </c>
      <c r="I60" s="12">
        <v>8.8119510000000005</v>
      </c>
      <c r="J60" s="12">
        <v>6.0501100000000001</v>
      </c>
      <c r="K60" s="12">
        <v>4.3869020000000001</v>
      </c>
      <c r="L60" s="12">
        <v>1.1367799999999999</v>
      </c>
      <c r="M60" s="12">
        <v>0.76675420000000005</v>
      </c>
      <c r="N60" s="11">
        <f t="shared" si="4"/>
        <v>17.477035999999998</v>
      </c>
      <c r="O60" s="11">
        <f t="shared" si="1"/>
        <v>23.780822999999998</v>
      </c>
      <c r="P60" s="11">
        <f t="shared" si="2"/>
        <v>11.573791999999999</v>
      </c>
      <c r="Q60" s="11">
        <f t="shared" si="3"/>
        <v>3.0603413000000002</v>
      </c>
    </row>
    <row r="61" spans="1:17" x14ac:dyDescent="0.25">
      <c r="A61">
        <v>1960</v>
      </c>
      <c r="B61" s="12">
        <v>1.8253330000000001</v>
      </c>
      <c r="C61" s="12">
        <v>0.46825410000000001</v>
      </c>
      <c r="D61" s="12">
        <v>3.7803650000000002</v>
      </c>
      <c r="E61" s="12">
        <v>4.8656459999999999</v>
      </c>
      <c r="F61" s="12">
        <v>2.0122529999999998</v>
      </c>
      <c r="G61" s="12">
        <v>6.931305</v>
      </c>
      <c r="H61" s="12">
        <v>8.8272089999999999</v>
      </c>
      <c r="I61" s="12">
        <v>4.7931670000000004</v>
      </c>
      <c r="J61" s="12">
        <v>5.523682</v>
      </c>
      <c r="K61" s="12">
        <v>5.1784520000000001</v>
      </c>
      <c r="L61" s="12">
        <v>1.760483</v>
      </c>
      <c r="M61" s="12">
        <v>3.2272340000000002</v>
      </c>
      <c r="N61" s="11">
        <f t="shared" si="4"/>
        <v>10.658263999999999</v>
      </c>
      <c r="O61" s="11">
        <f t="shared" si="1"/>
        <v>20.551681000000002</v>
      </c>
      <c r="P61" s="11">
        <f t="shared" si="2"/>
        <v>12.462617000000002</v>
      </c>
      <c r="Q61" s="11">
        <f t="shared" si="3"/>
        <v>11.34491</v>
      </c>
    </row>
    <row r="62" spans="1:17" x14ac:dyDescent="0.25">
      <c r="A62">
        <v>1961</v>
      </c>
      <c r="B62" s="12">
        <v>6.149292</v>
      </c>
      <c r="C62" s="12">
        <v>1.9683839999999999</v>
      </c>
      <c r="D62" s="12">
        <v>5.0506589999999996</v>
      </c>
      <c r="E62" s="12">
        <v>4.2610169999999998</v>
      </c>
      <c r="F62" s="12">
        <v>9.4814299999999996</v>
      </c>
      <c r="G62" s="12">
        <v>12.016299999999999</v>
      </c>
      <c r="H62" s="12">
        <v>7.9536439999999997</v>
      </c>
      <c r="I62" s="12">
        <v>8.3045960000000001</v>
      </c>
      <c r="J62" s="12">
        <v>6.5116880000000004</v>
      </c>
      <c r="K62" s="12">
        <v>2.220154</v>
      </c>
      <c r="L62" s="12">
        <v>1.821518</v>
      </c>
      <c r="M62" s="12">
        <v>0.88119510000000001</v>
      </c>
      <c r="N62" s="11">
        <f t="shared" si="4"/>
        <v>18.793105999999998</v>
      </c>
      <c r="O62" s="11">
        <f t="shared" si="1"/>
        <v>28.274539999999998</v>
      </c>
      <c r="P62" s="11">
        <f t="shared" si="2"/>
        <v>10.55336</v>
      </c>
      <c r="Q62" s="11">
        <f t="shared" si="3"/>
        <v>3.1585691000000002</v>
      </c>
    </row>
    <row r="63" spans="1:17" x14ac:dyDescent="0.25">
      <c r="A63">
        <v>1962</v>
      </c>
      <c r="B63" s="12">
        <v>1.224518</v>
      </c>
      <c r="C63" s="12">
        <v>1.052856</v>
      </c>
      <c r="D63" s="12">
        <v>2.6493069999999999</v>
      </c>
      <c r="E63" s="12">
        <v>4.6730039999999997</v>
      </c>
      <c r="F63" s="12">
        <v>8.2874300000000005</v>
      </c>
      <c r="G63" s="12">
        <v>8.8958739999999992</v>
      </c>
      <c r="H63" s="12">
        <v>3.7231450000000001</v>
      </c>
      <c r="I63" s="12">
        <v>12.575150000000001</v>
      </c>
      <c r="J63" s="12">
        <v>7.5244900000000001</v>
      </c>
      <c r="K63" s="12">
        <v>1.8825529999999999</v>
      </c>
      <c r="L63" s="12">
        <v>3.3779140000000001</v>
      </c>
      <c r="M63" s="12">
        <v>2.9582980000000001</v>
      </c>
      <c r="N63" s="11">
        <f t="shared" si="4"/>
        <v>15.609741</v>
      </c>
      <c r="O63" s="11">
        <f t="shared" si="1"/>
        <v>25.194169000000002</v>
      </c>
      <c r="P63" s="11">
        <f t="shared" si="2"/>
        <v>12.784957</v>
      </c>
      <c r="Q63" s="11">
        <f t="shared" si="3"/>
        <v>9.5453260000000011</v>
      </c>
    </row>
    <row r="64" spans="1:17" x14ac:dyDescent="0.25">
      <c r="A64">
        <v>1963</v>
      </c>
      <c r="B64" s="12">
        <v>4.6586990000000004</v>
      </c>
      <c r="C64" s="12">
        <v>1.928329</v>
      </c>
      <c r="D64" s="12">
        <v>5.022049</v>
      </c>
      <c r="E64" s="12">
        <v>6.9046019999999997</v>
      </c>
      <c r="F64" s="12">
        <v>5.7277680000000002</v>
      </c>
      <c r="G64" s="12">
        <v>12.19749</v>
      </c>
      <c r="H64" s="12">
        <v>8.2321170000000006</v>
      </c>
      <c r="I64" s="12">
        <v>7.1392059999999997</v>
      </c>
      <c r="J64" s="12">
        <v>4.8046110000000004</v>
      </c>
      <c r="K64" s="12">
        <v>2.4051670000000001</v>
      </c>
      <c r="L64" s="12">
        <v>4.5919420000000004</v>
      </c>
      <c r="M64" s="12">
        <v>2.6283259999999999</v>
      </c>
      <c r="N64" s="11">
        <f t="shared" si="4"/>
        <v>17.654419000000001</v>
      </c>
      <c r="O64" s="11">
        <f t="shared" si="1"/>
        <v>27.568812999999999</v>
      </c>
      <c r="P64" s="11">
        <f t="shared" si="2"/>
        <v>11.80172</v>
      </c>
      <c r="Q64" s="11">
        <f t="shared" si="3"/>
        <v>8.0680839999999989</v>
      </c>
    </row>
    <row r="65" spans="1:17" x14ac:dyDescent="0.25">
      <c r="A65">
        <v>1964</v>
      </c>
      <c r="B65" s="12">
        <v>1.7795559999999999</v>
      </c>
      <c r="C65" s="12">
        <v>3.660202</v>
      </c>
      <c r="D65" s="12">
        <v>3.4122469999999998</v>
      </c>
      <c r="E65" s="12">
        <v>5.659103</v>
      </c>
      <c r="F65" s="12">
        <v>6.8244939999999996</v>
      </c>
      <c r="G65" s="12">
        <v>8.8081359999999993</v>
      </c>
      <c r="H65" s="12">
        <v>6.462097</v>
      </c>
      <c r="I65" s="12">
        <v>7.556915</v>
      </c>
      <c r="J65" s="12">
        <v>4.5242310000000003</v>
      </c>
      <c r="K65" s="12">
        <v>4.161835</v>
      </c>
      <c r="L65" s="12">
        <v>1.5392300000000001</v>
      </c>
      <c r="M65" s="12">
        <v>7.1592330000000004</v>
      </c>
      <c r="N65" s="11">
        <f t="shared" si="4"/>
        <v>15.895843999999999</v>
      </c>
      <c r="O65" s="11">
        <f t="shared" si="1"/>
        <v>22.827148000000001</v>
      </c>
      <c r="P65" s="11">
        <f t="shared" si="2"/>
        <v>10.225296</v>
      </c>
      <c r="Q65" s="11">
        <f t="shared" si="3"/>
        <v>17.028808999999999</v>
      </c>
    </row>
    <row r="66" spans="1:17" x14ac:dyDescent="0.25">
      <c r="A66">
        <v>1965</v>
      </c>
      <c r="B66" s="12">
        <v>2.9640200000000001</v>
      </c>
      <c r="C66" s="12">
        <v>6.9055559999999998</v>
      </c>
      <c r="D66" s="12">
        <v>1.2092590000000001</v>
      </c>
      <c r="E66" s="12">
        <v>7.0991520000000001</v>
      </c>
      <c r="F66" s="12">
        <v>6.7348480000000004</v>
      </c>
      <c r="G66" s="12">
        <v>9.5710750000000004</v>
      </c>
      <c r="H66" s="12">
        <v>9.1056819999999998</v>
      </c>
      <c r="I66" s="12">
        <v>8.5372920000000008</v>
      </c>
      <c r="J66" s="12">
        <v>4.1236879999999996</v>
      </c>
      <c r="K66" s="12">
        <v>8.0204009999999997</v>
      </c>
      <c r="L66" s="12">
        <v>9.2144010000000005</v>
      </c>
      <c r="M66" s="12">
        <v>5.5313109999999996</v>
      </c>
      <c r="N66" s="11">
        <f t="shared" si="4"/>
        <v>15.043258999999999</v>
      </c>
      <c r="O66" s="11">
        <f t="shared" si="1"/>
        <v>27.214049000000003</v>
      </c>
      <c r="P66" s="11">
        <f t="shared" si="2"/>
        <v>21.35849</v>
      </c>
      <c r="Q66" s="11">
        <f t="shared" si="3"/>
        <v>8.4228519999999989</v>
      </c>
    </row>
    <row r="67" spans="1:17" x14ac:dyDescent="0.25">
      <c r="A67">
        <v>1966</v>
      </c>
      <c r="B67" s="12">
        <v>1.79863</v>
      </c>
      <c r="C67" s="12">
        <v>1.092911</v>
      </c>
      <c r="D67" s="12">
        <v>4.7264099999999996</v>
      </c>
      <c r="E67" s="12">
        <v>5.5866249999999997</v>
      </c>
      <c r="F67" s="12">
        <v>10.72884</v>
      </c>
      <c r="G67" s="12">
        <v>11.667249999999999</v>
      </c>
      <c r="H67" s="12">
        <v>7.9269410000000002</v>
      </c>
      <c r="I67" s="12">
        <v>5.044937</v>
      </c>
      <c r="J67" s="12">
        <v>5.8670039999999997</v>
      </c>
      <c r="K67" s="12">
        <v>3.3187859999999998</v>
      </c>
      <c r="L67" s="12">
        <v>2.0036700000000001</v>
      </c>
      <c r="M67" s="12">
        <v>9.0866089999999993</v>
      </c>
      <c r="N67" s="11">
        <f t="shared" si="4"/>
        <v>21.041874999999997</v>
      </c>
      <c r="O67" s="11">
        <f t="shared" ref="O67:O123" si="5">IF(AND(ISNUMBER(G67),ISNUMBER(H67),ISNUMBER(I67)),SUM(G67:I67),"")</f>
        <v>24.639127999999999</v>
      </c>
      <c r="P67" s="11">
        <f t="shared" ref="P67:P123" si="6">IF(AND(ISNUMBER(J67),ISNUMBER(K67),ISNUMBER(L67)),SUM(J67:L67),"")</f>
        <v>11.189459999999999</v>
      </c>
      <c r="Q67" s="11">
        <f t="shared" ref="Q67:Q123" si="7">IF(AND(ISNUMBER(M67),ISNUMBER(B68),ISNUMBER(C68)),SUM(M67,B68:C68),"")</f>
        <v>13.095855</v>
      </c>
    </row>
    <row r="68" spans="1:17" x14ac:dyDescent="0.25">
      <c r="A68">
        <v>1967</v>
      </c>
      <c r="B68" s="12">
        <v>2.662658</v>
      </c>
      <c r="C68" s="12">
        <v>1.3465879999999999</v>
      </c>
      <c r="D68" s="12">
        <v>1.9435880000000001</v>
      </c>
      <c r="E68" s="12">
        <v>1.4152530000000001</v>
      </c>
      <c r="F68" s="12">
        <v>10.57816</v>
      </c>
      <c r="G68" s="12">
        <v>5.6915279999999999</v>
      </c>
      <c r="H68" s="12">
        <v>8.2035060000000009</v>
      </c>
      <c r="I68" s="12">
        <v>12.3291</v>
      </c>
      <c r="J68" s="12">
        <v>4.4612879999999997</v>
      </c>
      <c r="K68" s="12">
        <v>6.3133229999999996</v>
      </c>
      <c r="L68" s="12">
        <v>2.9354100000000001</v>
      </c>
      <c r="M68" s="12">
        <v>1.7757419999999999</v>
      </c>
      <c r="N68" s="11">
        <f t="shared" si="4"/>
        <v>13.937001</v>
      </c>
      <c r="O68" s="11">
        <f t="shared" si="5"/>
        <v>26.224133999999999</v>
      </c>
      <c r="P68" s="11">
        <f t="shared" si="6"/>
        <v>13.710021000000001</v>
      </c>
      <c r="Q68" s="11">
        <f t="shared" si="7"/>
        <v>7.3699959000000002</v>
      </c>
    </row>
    <row r="69" spans="1:17" x14ac:dyDescent="0.25">
      <c r="A69">
        <v>1968</v>
      </c>
      <c r="B69" s="12">
        <v>0.98419190000000001</v>
      </c>
      <c r="C69" s="12">
        <v>4.6100620000000001</v>
      </c>
      <c r="D69" s="12">
        <v>1.8224720000000001</v>
      </c>
      <c r="E69" s="12">
        <v>3.1242369999999999</v>
      </c>
      <c r="F69" s="12">
        <v>4.3010710000000003</v>
      </c>
      <c r="G69" s="12">
        <v>5.111694</v>
      </c>
      <c r="H69" s="12">
        <v>6.1416630000000003</v>
      </c>
      <c r="I69" s="12">
        <v>6.5441130000000003</v>
      </c>
      <c r="J69" s="12">
        <v>6.1302190000000003</v>
      </c>
      <c r="K69" s="12">
        <v>5.4721830000000002</v>
      </c>
      <c r="L69" s="12">
        <v>4.6634669999999998</v>
      </c>
      <c r="M69" s="12">
        <v>5.2242280000000001</v>
      </c>
      <c r="N69" s="11">
        <f t="shared" si="4"/>
        <v>9.2477800000000006</v>
      </c>
      <c r="O69" s="11">
        <f t="shared" si="5"/>
        <v>17.797470000000001</v>
      </c>
      <c r="P69" s="11">
        <f t="shared" si="6"/>
        <v>16.265869000000002</v>
      </c>
      <c r="Q69" s="11">
        <f t="shared" si="7"/>
        <v>9.0370179999999998</v>
      </c>
    </row>
    <row r="70" spans="1:17" x14ac:dyDescent="0.25">
      <c r="A70">
        <v>1969</v>
      </c>
      <c r="B70" s="12">
        <v>0.91934199999999999</v>
      </c>
      <c r="C70" s="12">
        <v>2.8934479999999998</v>
      </c>
      <c r="D70" s="12">
        <v>1.6899109999999999</v>
      </c>
      <c r="E70" s="12">
        <v>7.3547359999999999</v>
      </c>
      <c r="F70" s="12">
        <v>7.3204039999999999</v>
      </c>
      <c r="G70" s="12">
        <v>9.8190310000000007</v>
      </c>
      <c r="H70" s="12">
        <v>10.15854</v>
      </c>
      <c r="I70" s="12">
        <v>9.4203949999999992</v>
      </c>
      <c r="J70" s="12">
        <v>6.1473849999999999</v>
      </c>
      <c r="K70" s="12">
        <v>6.3056950000000001</v>
      </c>
      <c r="L70" s="12">
        <v>1.4095310000000001</v>
      </c>
      <c r="M70" s="12">
        <v>0.50544739999999999</v>
      </c>
      <c r="N70" s="11">
        <f t="shared" si="4"/>
        <v>16.365051000000001</v>
      </c>
      <c r="O70" s="11">
        <f t="shared" si="5"/>
        <v>29.397966</v>
      </c>
      <c r="P70" s="11">
        <f t="shared" si="6"/>
        <v>13.862610999999999</v>
      </c>
      <c r="Q70" s="11">
        <f t="shared" si="7"/>
        <v>3.5848621999999999</v>
      </c>
    </row>
    <row r="71" spans="1:17" x14ac:dyDescent="0.25">
      <c r="A71">
        <v>1970</v>
      </c>
      <c r="B71" s="12">
        <v>2.1505359999999998</v>
      </c>
      <c r="C71" s="12">
        <v>0.9288788</v>
      </c>
      <c r="D71" s="12">
        <v>2.784729</v>
      </c>
      <c r="E71" s="12">
        <v>3.0307770000000001</v>
      </c>
      <c r="F71" s="12">
        <v>9.8228449999999992</v>
      </c>
      <c r="G71" s="12">
        <v>11.24954</v>
      </c>
      <c r="H71" s="12">
        <v>11.09314</v>
      </c>
      <c r="I71" s="12">
        <v>9.6797939999999993</v>
      </c>
      <c r="J71" s="12">
        <v>3.929138</v>
      </c>
      <c r="K71" s="12">
        <v>2.0408629999999999</v>
      </c>
      <c r="L71" s="12">
        <v>1.1262890000000001</v>
      </c>
      <c r="M71" s="12">
        <v>6.562233</v>
      </c>
      <c r="N71" s="11">
        <f t="shared" si="4"/>
        <v>15.638351</v>
      </c>
      <c r="O71" s="11">
        <f t="shared" si="5"/>
        <v>32.022474000000003</v>
      </c>
      <c r="P71" s="11">
        <f t="shared" si="6"/>
        <v>7.0962899999999998</v>
      </c>
      <c r="Q71" s="11">
        <f t="shared" si="7"/>
        <v>13.779639999999999</v>
      </c>
    </row>
    <row r="72" spans="1:17" x14ac:dyDescent="0.25">
      <c r="A72">
        <v>1971</v>
      </c>
      <c r="B72" s="12">
        <v>3.9854050000000001</v>
      </c>
      <c r="C72" s="12">
        <v>3.232002</v>
      </c>
      <c r="D72" s="12">
        <v>1.978874</v>
      </c>
      <c r="E72" s="12">
        <v>3.1795499999999999</v>
      </c>
      <c r="F72" s="12">
        <v>7.232666</v>
      </c>
      <c r="G72" s="12">
        <v>7.1201319999999999</v>
      </c>
      <c r="H72" s="12">
        <v>14.801030000000001</v>
      </c>
      <c r="I72" s="12">
        <v>9.7103120000000001</v>
      </c>
      <c r="J72" s="12">
        <v>5.9890749999999997</v>
      </c>
      <c r="K72" s="12">
        <v>2.857208</v>
      </c>
      <c r="L72" s="12">
        <v>2.7370450000000002</v>
      </c>
      <c r="M72" s="12">
        <v>7.388115</v>
      </c>
      <c r="N72" s="11">
        <f t="shared" si="4"/>
        <v>12.39109</v>
      </c>
      <c r="O72" s="11">
        <f t="shared" si="5"/>
        <v>31.631474000000004</v>
      </c>
      <c r="P72" s="11">
        <f t="shared" si="6"/>
        <v>11.583328</v>
      </c>
      <c r="Q72" s="11">
        <f t="shared" si="7"/>
        <v>12.925148</v>
      </c>
    </row>
    <row r="73" spans="1:17" x14ac:dyDescent="0.25">
      <c r="A73">
        <v>1972</v>
      </c>
      <c r="B73" s="12">
        <v>3.303528</v>
      </c>
      <c r="C73" s="12">
        <v>2.2335050000000001</v>
      </c>
      <c r="D73" s="12">
        <v>2.5186540000000002</v>
      </c>
      <c r="E73" s="12">
        <v>1.150131</v>
      </c>
      <c r="F73" s="12">
        <v>17.730709999999998</v>
      </c>
      <c r="G73" s="12">
        <v>8.8100430000000003</v>
      </c>
      <c r="H73" s="12">
        <v>10.67925</v>
      </c>
      <c r="I73" s="12">
        <v>5.6953430000000003</v>
      </c>
      <c r="J73" s="12">
        <v>5.7601930000000001</v>
      </c>
      <c r="K73" s="12">
        <v>7.076263</v>
      </c>
      <c r="L73" s="12">
        <v>1.867294</v>
      </c>
      <c r="M73" s="12">
        <v>0.58174130000000002</v>
      </c>
      <c r="N73" s="11">
        <f t="shared" si="4"/>
        <v>21.399494999999998</v>
      </c>
      <c r="O73" s="11">
        <f t="shared" si="5"/>
        <v>25.184636000000001</v>
      </c>
      <c r="P73" s="11">
        <f t="shared" si="6"/>
        <v>14.703749999999999</v>
      </c>
      <c r="Q73" s="11">
        <f t="shared" si="7"/>
        <v>3.6735533</v>
      </c>
    </row>
    <row r="74" spans="1:17" x14ac:dyDescent="0.25">
      <c r="A74">
        <v>1973</v>
      </c>
      <c r="B74" s="12">
        <v>1.924515</v>
      </c>
      <c r="C74" s="12">
        <v>1.167297</v>
      </c>
      <c r="D74" s="12">
        <v>1.7929079999999999</v>
      </c>
      <c r="E74" s="12">
        <v>2.1305079999999998</v>
      </c>
      <c r="F74" s="12">
        <v>9.8571779999999993</v>
      </c>
      <c r="G74" s="12">
        <v>14.228820000000001</v>
      </c>
      <c r="H74" s="12">
        <v>9.1133120000000005</v>
      </c>
      <c r="I74" s="12">
        <v>10.01549</v>
      </c>
      <c r="J74" s="12">
        <v>3.2997130000000001</v>
      </c>
      <c r="K74" s="12">
        <v>6.8187720000000001</v>
      </c>
      <c r="L74" s="12">
        <v>2.0618439999999998</v>
      </c>
      <c r="M74" s="12">
        <v>1.752853</v>
      </c>
      <c r="N74" s="11">
        <f t="shared" si="4"/>
        <v>13.780593999999999</v>
      </c>
      <c r="O74" s="11">
        <f t="shared" si="5"/>
        <v>33.357621999999999</v>
      </c>
      <c r="P74" s="11">
        <f t="shared" si="6"/>
        <v>12.180329</v>
      </c>
      <c r="Q74" s="11">
        <f t="shared" si="7"/>
        <v>11.640548000000001</v>
      </c>
    </row>
    <row r="75" spans="1:17" x14ac:dyDescent="0.25">
      <c r="A75">
        <v>1974</v>
      </c>
      <c r="B75" s="12">
        <v>6.9780350000000002</v>
      </c>
      <c r="C75" s="12">
        <v>2.9096600000000001</v>
      </c>
      <c r="D75" s="12">
        <v>3.4236909999999998</v>
      </c>
      <c r="E75" s="12">
        <v>1.216888</v>
      </c>
      <c r="F75" s="12">
        <v>8.4419249999999995</v>
      </c>
      <c r="G75" s="12">
        <v>11.4994</v>
      </c>
      <c r="H75" s="12">
        <v>7.5397489999999996</v>
      </c>
      <c r="I75" s="12">
        <v>6.7462920000000004</v>
      </c>
      <c r="J75" s="12">
        <v>1.8939969999999999</v>
      </c>
      <c r="K75" s="12">
        <v>1.218796</v>
      </c>
      <c r="L75" s="12">
        <v>5.3749079999999996</v>
      </c>
      <c r="M75" s="12">
        <v>1.735687</v>
      </c>
      <c r="N75" s="11">
        <f t="shared" si="4"/>
        <v>13.082504</v>
      </c>
      <c r="O75" s="11">
        <f t="shared" si="5"/>
        <v>25.785440999999999</v>
      </c>
      <c r="P75" s="11">
        <f t="shared" si="6"/>
        <v>8.4877009999999995</v>
      </c>
      <c r="Q75" s="11">
        <f t="shared" si="7"/>
        <v>7.9288474999999998</v>
      </c>
    </row>
    <row r="76" spans="1:17" x14ac:dyDescent="0.25">
      <c r="A76">
        <v>1975</v>
      </c>
      <c r="B76" s="12">
        <v>0.7743835</v>
      </c>
      <c r="C76" s="12">
        <v>5.4187770000000004</v>
      </c>
      <c r="D76" s="12">
        <v>2.0122529999999998</v>
      </c>
      <c r="E76" s="12">
        <v>13.217930000000001</v>
      </c>
      <c r="F76" s="12">
        <v>10.252000000000001</v>
      </c>
      <c r="G76" s="12">
        <v>8.0814360000000001</v>
      </c>
      <c r="H76" s="12">
        <v>18.583300000000001</v>
      </c>
      <c r="I76" s="12">
        <v>8.9282990000000009</v>
      </c>
      <c r="J76" s="12">
        <v>6.6013339999999996</v>
      </c>
      <c r="K76" s="12">
        <v>4.6710969999999996</v>
      </c>
      <c r="L76" s="12">
        <v>5.0048830000000004</v>
      </c>
      <c r="M76" s="12">
        <v>5.290985</v>
      </c>
      <c r="N76" s="11">
        <f t="shared" si="4"/>
        <v>25.482182999999999</v>
      </c>
      <c r="O76" s="11">
        <f t="shared" si="5"/>
        <v>35.593035</v>
      </c>
      <c r="P76" s="11">
        <f t="shared" si="6"/>
        <v>16.277314000000001</v>
      </c>
      <c r="Q76" s="11">
        <f t="shared" si="7"/>
        <v>9.7856519999999989</v>
      </c>
    </row>
    <row r="77" spans="1:17" x14ac:dyDescent="0.25">
      <c r="A77">
        <v>1976</v>
      </c>
      <c r="B77" s="12">
        <v>3.1433110000000002</v>
      </c>
      <c r="C77" s="12">
        <v>1.351356</v>
      </c>
      <c r="D77" s="12">
        <v>1.247406</v>
      </c>
      <c r="E77" s="12">
        <v>1.296997</v>
      </c>
      <c r="F77" s="12">
        <v>6.1569209999999996</v>
      </c>
      <c r="G77" s="12">
        <v>14.369960000000001</v>
      </c>
      <c r="H77" s="12">
        <v>9.1152189999999997</v>
      </c>
      <c r="I77" s="12">
        <v>5.5007929999999998</v>
      </c>
      <c r="J77" s="12">
        <v>2.0904539999999998</v>
      </c>
      <c r="K77" s="12">
        <v>4.2781830000000003</v>
      </c>
      <c r="L77" s="12">
        <v>2.4681090000000001</v>
      </c>
      <c r="M77" s="12">
        <v>4.7721859999999996</v>
      </c>
      <c r="N77" s="11">
        <f t="shared" si="4"/>
        <v>8.7013239999999996</v>
      </c>
      <c r="O77" s="11">
        <f t="shared" si="5"/>
        <v>28.985972000000004</v>
      </c>
      <c r="P77" s="11">
        <f t="shared" si="6"/>
        <v>8.8367459999999998</v>
      </c>
      <c r="Q77" s="11">
        <f t="shared" si="7"/>
        <v>7.6198573999999999</v>
      </c>
    </row>
    <row r="78" spans="1:17" x14ac:dyDescent="0.25">
      <c r="A78">
        <v>1977</v>
      </c>
      <c r="B78" s="12">
        <v>1.8882749999999999</v>
      </c>
      <c r="C78" s="12">
        <v>0.95939640000000004</v>
      </c>
      <c r="D78" s="12">
        <v>2.4986269999999999</v>
      </c>
      <c r="E78" s="12">
        <v>6.2255859999999998</v>
      </c>
      <c r="F78" s="12">
        <v>9.7332000000000001</v>
      </c>
      <c r="G78" s="12">
        <v>20.174029999999998</v>
      </c>
      <c r="H78" s="12">
        <v>12.32338</v>
      </c>
      <c r="I78" s="12">
        <v>7.4443820000000001</v>
      </c>
      <c r="J78" s="12">
        <v>6.3705439999999998</v>
      </c>
      <c r="K78" s="12">
        <v>4.5547490000000002</v>
      </c>
      <c r="L78" s="12">
        <v>7.8277580000000002</v>
      </c>
      <c r="M78" s="12">
        <v>2.3097989999999999</v>
      </c>
      <c r="N78" s="11">
        <f t="shared" si="4"/>
        <v>18.457412999999999</v>
      </c>
      <c r="O78" s="11">
        <f t="shared" si="5"/>
        <v>39.941792</v>
      </c>
      <c r="P78" s="11">
        <f t="shared" si="6"/>
        <v>18.753050999999999</v>
      </c>
      <c r="Q78" s="11">
        <f t="shared" si="7"/>
        <v>4.8580170000000003</v>
      </c>
    </row>
    <row r="79" spans="1:17" x14ac:dyDescent="0.25">
      <c r="A79">
        <v>1978</v>
      </c>
      <c r="B79" s="12">
        <v>0.83160400000000001</v>
      </c>
      <c r="C79" s="12">
        <v>1.7166140000000001</v>
      </c>
      <c r="D79" s="12">
        <v>1.411438</v>
      </c>
      <c r="E79" s="12">
        <v>0.459671</v>
      </c>
      <c r="F79" s="12">
        <v>8.5983280000000004</v>
      </c>
      <c r="G79" s="12">
        <v>7.86972</v>
      </c>
      <c r="H79" s="12">
        <v>17.377849999999999</v>
      </c>
      <c r="I79" s="12">
        <v>8.3312989999999996</v>
      </c>
      <c r="J79" s="12">
        <v>5.5961600000000002</v>
      </c>
      <c r="K79" s="12">
        <v>9.0732569999999999</v>
      </c>
      <c r="L79" s="12">
        <v>2.3117070000000002</v>
      </c>
      <c r="M79" s="12">
        <v>0.49877169999999998</v>
      </c>
      <c r="N79" s="11">
        <f t="shared" si="4"/>
        <v>10.469437000000001</v>
      </c>
      <c r="O79" s="11">
        <f t="shared" si="5"/>
        <v>33.578868999999997</v>
      </c>
      <c r="P79" s="11">
        <f t="shared" si="6"/>
        <v>16.981124000000001</v>
      </c>
      <c r="Q79" s="11">
        <f t="shared" si="7"/>
        <v>2.7513508999999998</v>
      </c>
    </row>
    <row r="80" spans="1:17" x14ac:dyDescent="0.25">
      <c r="A80">
        <v>1979</v>
      </c>
      <c r="B80" s="12">
        <v>1.3542179999999999</v>
      </c>
      <c r="C80" s="12">
        <v>0.89836119999999997</v>
      </c>
      <c r="D80" s="12">
        <v>2.5711059999999999</v>
      </c>
      <c r="E80" s="12">
        <v>1.338959</v>
      </c>
      <c r="F80" s="12">
        <v>11.94191</v>
      </c>
      <c r="G80" s="12">
        <v>6.6680910000000004</v>
      </c>
      <c r="H80" s="12">
        <v>11.35826</v>
      </c>
      <c r="I80" s="12">
        <v>17.3111</v>
      </c>
      <c r="J80" s="12">
        <v>7.4806210000000002</v>
      </c>
      <c r="K80" s="12">
        <v>6.4754490000000002</v>
      </c>
      <c r="L80" s="12">
        <v>4.0121079999999996</v>
      </c>
      <c r="M80" s="12">
        <v>4.9724579999999996</v>
      </c>
      <c r="N80" s="11">
        <f t="shared" si="4"/>
        <v>15.851974999999999</v>
      </c>
      <c r="O80" s="11">
        <f t="shared" si="5"/>
        <v>35.337451000000001</v>
      </c>
      <c r="P80" s="11">
        <f t="shared" si="6"/>
        <v>17.968178000000002</v>
      </c>
      <c r="Q80" s="11">
        <f t="shared" si="7"/>
        <v>13.658524</v>
      </c>
    </row>
    <row r="81" spans="1:17" x14ac:dyDescent="0.25">
      <c r="A81">
        <v>1980</v>
      </c>
      <c r="B81" s="12">
        <v>1.247406</v>
      </c>
      <c r="C81" s="12">
        <v>7.4386599999999996</v>
      </c>
      <c r="D81" s="12">
        <v>3.326416</v>
      </c>
      <c r="E81" s="12">
        <v>8.7127689999999998</v>
      </c>
      <c r="F81" s="12">
        <v>14.75525</v>
      </c>
      <c r="G81" s="12">
        <v>9.9239350000000002</v>
      </c>
      <c r="H81" s="12">
        <v>9.9124909999999993</v>
      </c>
      <c r="I81" s="12">
        <v>13.097759999999999</v>
      </c>
      <c r="J81" s="12">
        <v>4.1599269999999997</v>
      </c>
      <c r="K81" s="12">
        <v>0.97846979999999995</v>
      </c>
      <c r="L81" s="12">
        <v>5.7487490000000001</v>
      </c>
      <c r="M81" s="12">
        <v>3.8032530000000002</v>
      </c>
      <c r="N81" s="11">
        <f t="shared" si="4"/>
        <v>26.794435</v>
      </c>
      <c r="O81" s="11">
        <f t="shared" si="5"/>
        <v>32.934185999999997</v>
      </c>
      <c r="P81" s="11">
        <f t="shared" si="6"/>
        <v>10.887145799999999</v>
      </c>
      <c r="Q81" s="11">
        <f t="shared" si="7"/>
        <v>8.6421969999999995</v>
      </c>
    </row>
    <row r="82" spans="1:17" x14ac:dyDescent="0.25">
      <c r="A82">
        <v>1981</v>
      </c>
      <c r="B82" s="12">
        <v>3.5972599999999999</v>
      </c>
      <c r="C82" s="12">
        <v>1.241684</v>
      </c>
      <c r="D82" s="12">
        <v>3.3283230000000001</v>
      </c>
      <c r="E82" s="12">
        <v>3.3054350000000001</v>
      </c>
      <c r="F82" s="12">
        <v>19.208909999999999</v>
      </c>
      <c r="G82" s="12">
        <v>7.9040530000000002</v>
      </c>
      <c r="H82" s="12">
        <v>7.8144070000000001</v>
      </c>
      <c r="I82" s="12">
        <v>5.9108729999999996</v>
      </c>
      <c r="J82" s="12">
        <v>8.7966920000000002</v>
      </c>
      <c r="K82" s="12">
        <v>2.6760100000000002</v>
      </c>
      <c r="L82" s="12">
        <v>2.857208</v>
      </c>
      <c r="M82" s="12">
        <v>3.6125180000000001</v>
      </c>
      <c r="N82" s="11">
        <f t="shared" si="4"/>
        <v>25.842668</v>
      </c>
      <c r="O82" s="11">
        <f t="shared" si="5"/>
        <v>21.629332999999999</v>
      </c>
      <c r="P82" s="11">
        <f t="shared" si="6"/>
        <v>14.32991</v>
      </c>
      <c r="Q82" s="11">
        <f t="shared" si="7"/>
        <v>10.463715000000001</v>
      </c>
    </row>
    <row r="83" spans="1:17" x14ac:dyDescent="0.25">
      <c r="A83">
        <v>1982</v>
      </c>
      <c r="B83" s="12">
        <v>3.9691930000000002</v>
      </c>
      <c r="C83" s="12">
        <v>2.8820039999999998</v>
      </c>
      <c r="D83" s="12">
        <v>2.9525760000000001</v>
      </c>
      <c r="E83" s="12">
        <v>2.0503999999999998</v>
      </c>
      <c r="F83" s="12">
        <v>10.32066</v>
      </c>
      <c r="G83" s="12">
        <v>12.98523</v>
      </c>
      <c r="H83" s="12">
        <v>10.349270000000001</v>
      </c>
      <c r="I83" s="12">
        <v>9.3421939999999992</v>
      </c>
      <c r="J83" s="12">
        <v>7.2135930000000004</v>
      </c>
      <c r="K83" s="12">
        <v>6.708145</v>
      </c>
      <c r="L83" s="12">
        <v>3.4370419999999999</v>
      </c>
      <c r="M83" s="12">
        <v>1.0890960000000001</v>
      </c>
      <c r="N83" s="11">
        <f t="shared" si="4"/>
        <v>15.323636</v>
      </c>
      <c r="O83" s="11">
        <f t="shared" si="5"/>
        <v>32.676693999999998</v>
      </c>
      <c r="P83" s="11">
        <f t="shared" si="6"/>
        <v>17.358780000000003</v>
      </c>
      <c r="Q83" s="11">
        <f t="shared" si="7"/>
        <v>4.9457550000000001</v>
      </c>
    </row>
    <row r="84" spans="1:17" x14ac:dyDescent="0.25">
      <c r="A84">
        <v>1983</v>
      </c>
      <c r="B84" s="12">
        <v>2.449036</v>
      </c>
      <c r="C84" s="12">
        <v>1.4076230000000001</v>
      </c>
      <c r="D84" s="12">
        <v>2.6283259999999999</v>
      </c>
      <c r="E84" s="12">
        <v>5.2490230000000002</v>
      </c>
      <c r="F84" s="12">
        <v>5.1593780000000002</v>
      </c>
      <c r="G84" s="12">
        <v>8.2168580000000002</v>
      </c>
      <c r="H84" s="12">
        <v>12.016299999999999</v>
      </c>
      <c r="I84" s="12">
        <v>6.3247689999999999</v>
      </c>
      <c r="J84" s="12">
        <v>7.8735350000000004</v>
      </c>
      <c r="K84" s="12">
        <v>4.6157839999999997</v>
      </c>
      <c r="L84" s="12">
        <v>0.93269349999999995</v>
      </c>
      <c r="M84" s="12">
        <v>1.2521739999999999</v>
      </c>
      <c r="N84" s="11">
        <f t="shared" si="4"/>
        <v>13.036727000000001</v>
      </c>
      <c r="O84" s="11">
        <f t="shared" si="5"/>
        <v>26.557926999999999</v>
      </c>
      <c r="P84" s="11">
        <f t="shared" si="6"/>
        <v>13.422012499999999</v>
      </c>
      <c r="Q84" s="11">
        <f t="shared" si="7"/>
        <v>9.7818369999999994</v>
      </c>
    </row>
    <row r="85" spans="1:17" x14ac:dyDescent="0.25">
      <c r="A85">
        <v>1984</v>
      </c>
      <c r="B85" s="12">
        <v>3.7593839999999998</v>
      </c>
      <c r="C85" s="12">
        <v>4.7702790000000004</v>
      </c>
      <c r="D85" s="12">
        <v>3.025055</v>
      </c>
      <c r="E85" s="12">
        <v>2.700806</v>
      </c>
      <c r="F85" s="12">
        <v>13.93127</v>
      </c>
      <c r="G85" s="12">
        <v>8.7299349999999993</v>
      </c>
      <c r="H85" s="12">
        <v>8.5468290000000007</v>
      </c>
      <c r="I85" s="12">
        <v>3.7460330000000002</v>
      </c>
      <c r="J85" s="12">
        <v>4.9362180000000002</v>
      </c>
      <c r="K85" s="12">
        <v>11.232379999999999</v>
      </c>
      <c r="L85" s="12">
        <v>2.5539399999999999</v>
      </c>
      <c r="M85" s="12">
        <v>3.3664700000000001</v>
      </c>
      <c r="N85" s="11">
        <f t="shared" si="4"/>
        <v>19.657131</v>
      </c>
      <c r="O85" s="11">
        <f t="shared" si="5"/>
        <v>21.022797000000001</v>
      </c>
      <c r="P85" s="11">
        <f t="shared" si="6"/>
        <v>18.722538</v>
      </c>
      <c r="Q85" s="11">
        <f t="shared" si="7"/>
        <v>10.437011</v>
      </c>
    </row>
    <row r="86" spans="1:17" x14ac:dyDescent="0.25">
      <c r="A86">
        <v>1985</v>
      </c>
      <c r="B86" s="12">
        <v>2.6721949999999999</v>
      </c>
      <c r="C86" s="12">
        <v>4.3983460000000001</v>
      </c>
      <c r="D86" s="12">
        <v>3.3969879999999999</v>
      </c>
      <c r="E86" s="12">
        <v>7.1725849999999998</v>
      </c>
      <c r="F86" s="12">
        <v>15.33699</v>
      </c>
      <c r="G86" s="12">
        <v>8.2721710000000002</v>
      </c>
      <c r="H86" s="12">
        <v>6.5937039999999998</v>
      </c>
      <c r="I86" s="12">
        <v>5.9623720000000002</v>
      </c>
      <c r="J86" s="12">
        <v>6.2522890000000002</v>
      </c>
      <c r="K86" s="12">
        <v>2.738953</v>
      </c>
      <c r="L86" s="12">
        <v>4.2657850000000002</v>
      </c>
      <c r="M86" s="12">
        <v>2.024651</v>
      </c>
      <c r="N86" s="11">
        <f t="shared" si="4"/>
        <v>25.906562999999998</v>
      </c>
      <c r="O86" s="11">
        <f t="shared" si="5"/>
        <v>20.828246999999998</v>
      </c>
      <c r="P86" s="11">
        <f t="shared" si="6"/>
        <v>13.257027000000001</v>
      </c>
      <c r="Q86" s="11">
        <f t="shared" si="7"/>
        <v>8.7938310000000008</v>
      </c>
    </row>
    <row r="87" spans="1:17" x14ac:dyDescent="0.25">
      <c r="A87">
        <v>1986</v>
      </c>
      <c r="B87" s="12">
        <v>2.555847</v>
      </c>
      <c r="C87" s="12">
        <v>4.2133330000000004</v>
      </c>
      <c r="D87" s="12">
        <v>3.3359529999999999</v>
      </c>
      <c r="E87" s="12">
        <v>7.789612</v>
      </c>
      <c r="F87" s="12">
        <v>9.8762509999999999</v>
      </c>
      <c r="G87" s="12">
        <v>11.449809999999999</v>
      </c>
      <c r="H87" s="12">
        <v>5.1250460000000002</v>
      </c>
      <c r="I87" s="12">
        <v>8.1405639999999995</v>
      </c>
      <c r="J87" s="12">
        <v>5.1212309999999999</v>
      </c>
      <c r="K87" s="12">
        <v>2.573013</v>
      </c>
      <c r="L87" s="12">
        <v>7.8182219999999996</v>
      </c>
      <c r="M87" s="12">
        <v>1.4305110000000001</v>
      </c>
      <c r="N87" s="11">
        <f t="shared" si="4"/>
        <v>21.001815999999998</v>
      </c>
      <c r="O87" s="11">
        <f t="shared" si="5"/>
        <v>24.715420000000002</v>
      </c>
      <c r="P87" s="11">
        <f t="shared" si="6"/>
        <v>15.512466</v>
      </c>
      <c r="Q87" s="11">
        <f t="shared" si="7"/>
        <v>3.6792754000000003</v>
      </c>
    </row>
    <row r="88" spans="1:17" x14ac:dyDescent="0.25">
      <c r="A88">
        <v>1987</v>
      </c>
      <c r="B88" s="12">
        <v>0.7190704</v>
      </c>
      <c r="C88" s="12">
        <v>1.5296940000000001</v>
      </c>
      <c r="D88" s="12">
        <v>4.5146940000000004</v>
      </c>
      <c r="E88" s="12">
        <v>5.4721830000000002</v>
      </c>
      <c r="F88" s="12">
        <v>6.2294010000000002</v>
      </c>
      <c r="G88" s="12">
        <v>7.1411129999999998</v>
      </c>
      <c r="H88" s="12">
        <v>12.10022</v>
      </c>
      <c r="I88" s="12">
        <v>6.6223150000000004</v>
      </c>
      <c r="J88" s="12">
        <v>4.966736</v>
      </c>
      <c r="K88" s="12">
        <v>3.4885410000000001</v>
      </c>
      <c r="L88" s="12">
        <v>3.1433110000000002</v>
      </c>
      <c r="M88" s="12">
        <v>3.0097960000000001</v>
      </c>
      <c r="N88" s="11">
        <f t="shared" si="4"/>
        <v>16.216277999999999</v>
      </c>
      <c r="O88" s="11">
        <f t="shared" si="5"/>
        <v>25.863648000000001</v>
      </c>
      <c r="P88" s="11">
        <f t="shared" si="6"/>
        <v>11.598588000000001</v>
      </c>
      <c r="Q88" s="11">
        <f t="shared" si="7"/>
        <v>6.2637331999999999</v>
      </c>
    </row>
    <row r="89" spans="1:17" x14ac:dyDescent="0.25">
      <c r="A89">
        <v>1988</v>
      </c>
      <c r="B89" s="12">
        <v>3.0670169999999999</v>
      </c>
      <c r="C89" s="12">
        <v>0.18692020000000001</v>
      </c>
      <c r="D89" s="12">
        <v>2.8533940000000002</v>
      </c>
      <c r="E89" s="12">
        <v>4.3697359999999996</v>
      </c>
      <c r="F89" s="12">
        <v>3.5953520000000001</v>
      </c>
      <c r="G89" s="12">
        <v>11.58905</v>
      </c>
      <c r="H89" s="12">
        <v>3.353119</v>
      </c>
      <c r="I89" s="12">
        <v>9.3803409999999996</v>
      </c>
      <c r="J89" s="12">
        <v>2.8610229999999999</v>
      </c>
      <c r="K89" s="12">
        <v>6.7653650000000001</v>
      </c>
      <c r="L89" s="12">
        <v>2.532959</v>
      </c>
      <c r="M89" s="12">
        <v>4.4574740000000004</v>
      </c>
      <c r="N89" s="11">
        <f t="shared" si="4"/>
        <v>10.818481999999999</v>
      </c>
      <c r="O89" s="11">
        <f t="shared" si="5"/>
        <v>24.322510000000001</v>
      </c>
      <c r="P89" s="11">
        <f t="shared" si="6"/>
        <v>12.159347</v>
      </c>
      <c r="Q89" s="11">
        <f t="shared" si="7"/>
        <v>8.5353849999999998</v>
      </c>
    </row>
    <row r="90" spans="1:17" x14ac:dyDescent="0.25">
      <c r="A90">
        <v>1989</v>
      </c>
      <c r="B90" s="12">
        <v>2.1305079999999998</v>
      </c>
      <c r="C90" s="12">
        <v>1.947403</v>
      </c>
      <c r="D90" s="12">
        <v>2.739906</v>
      </c>
      <c r="E90" s="12">
        <v>4.2572020000000004</v>
      </c>
      <c r="F90" s="12">
        <v>1.8367770000000001</v>
      </c>
      <c r="G90" s="12">
        <v>9.742737</v>
      </c>
      <c r="H90" s="12">
        <v>7.4405669999999997</v>
      </c>
      <c r="I90" s="12">
        <v>11.177060000000001</v>
      </c>
      <c r="J90" s="12">
        <v>3.007889</v>
      </c>
      <c r="K90" s="12">
        <v>3.1547550000000002</v>
      </c>
      <c r="L90" s="12">
        <v>2.031326</v>
      </c>
      <c r="M90" s="12">
        <v>6.896973</v>
      </c>
      <c r="N90" s="11">
        <f t="shared" si="4"/>
        <v>8.8338850000000004</v>
      </c>
      <c r="O90" s="11">
        <f t="shared" si="5"/>
        <v>28.360364000000001</v>
      </c>
      <c r="P90" s="11">
        <f t="shared" si="6"/>
        <v>8.1939700000000002</v>
      </c>
      <c r="Q90" s="11">
        <f t="shared" si="7"/>
        <v>12.042045999999999</v>
      </c>
    </row>
    <row r="91" spans="1:17" x14ac:dyDescent="0.25">
      <c r="A91">
        <v>1990</v>
      </c>
      <c r="B91" s="12">
        <v>2.7046199999999998</v>
      </c>
      <c r="C91" s="12">
        <v>2.4404530000000002</v>
      </c>
      <c r="D91" s="12">
        <v>4.3201450000000001</v>
      </c>
      <c r="E91" s="12">
        <v>7.5740809999999996</v>
      </c>
      <c r="F91" s="12">
        <v>7.9612740000000004</v>
      </c>
      <c r="G91" s="12">
        <v>10.622019999999999</v>
      </c>
      <c r="H91" s="12">
        <v>4.5261380000000004</v>
      </c>
      <c r="I91" s="12">
        <v>8.0890660000000008</v>
      </c>
      <c r="J91" s="12">
        <v>7.6408389999999997</v>
      </c>
      <c r="K91" s="12">
        <v>4.2343140000000004</v>
      </c>
      <c r="L91" s="12">
        <v>3.274918</v>
      </c>
      <c r="M91" s="12">
        <v>3.1290049999999998</v>
      </c>
      <c r="N91" s="11">
        <f t="shared" si="4"/>
        <v>19.855499999999999</v>
      </c>
      <c r="O91" s="11">
        <f t="shared" si="5"/>
        <v>23.237223999999998</v>
      </c>
      <c r="P91" s="11">
        <f t="shared" si="6"/>
        <v>15.150071000000001</v>
      </c>
      <c r="Q91" s="11">
        <f t="shared" si="7"/>
        <v>6.2465670000000006</v>
      </c>
    </row>
    <row r="92" spans="1:17" x14ac:dyDescent="0.25">
      <c r="A92">
        <v>1991</v>
      </c>
      <c r="B92" s="12">
        <v>2.0217900000000002</v>
      </c>
      <c r="C92" s="12">
        <v>1.095772</v>
      </c>
      <c r="D92" s="12">
        <v>2.8820039999999998</v>
      </c>
      <c r="E92" s="12">
        <v>4.117966</v>
      </c>
      <c r="F92" s="12">
        <v>10.910030000000001</v>
      </c>
      <c r="G92" s="12">
        <v>4.2400359999999999</v>
      </c>
      <c r="H92" s="12">
        <v>10.29968</v>
      </c>
      <c r="I92" s="12">
        <v>6.5784450000000003</v>
      </c>
      <c r="J92" s="12">
        <v>7.7686310000000001</v>
      </c>
      <c r="K92" s="12">
        <v>3.8871760000000002</v>
      </c>
      <c r="L92" s="12">
        <v>2.727509</v>
      </c>
      <c r="M92" s="12">
        <v>9.8371510000000004</v>
      </c>
      <c r="N92" s="11">
        <f t="shared" si="4"/>
        <v>17.91</v>
      </c>
      <c r="O92" s="11">
        <f t="shared" si="5"/>
        <v>21.118161000000001</v>
      </c>
      <c r="P92" s="11">
        <f t="shared" si="6"/>
        <v>14.383315999999999</v>
      </c>
      <c r="Q92" s="11">
        <f t="shared" si="7"/>
        <v>14.300346300000001</v>
      </c>
    </row>
    <row r="93" spans="1:17" x14ac:dyDescent="0.25">
      <c r="A93">
        <v>1992</v>
      </c>
      <c r="B93" s="12">
        <v>0.66375729999999999</v>
      </c>
      <c r="C93" s="12">
        <v>3.7994379999999999</v>
      </c>
      <c r="D93" s="12">
        <v>3.494262</v>
      </c>
      <c r="E93" s="12">
        <v>6.0977940000000004</v>
      </c>
      <c r="F93" s="12">
        <v>9.5958710000000007</v>
      </c>
      <c r="G93" s="12">
        <v>10.01549</v>
      </c>
      <c r="H93" s="12">
        <v>4.3869020000000001</v>
      </c>
      <c r="I93" s="12">
        <v>4.486084</v>
      </c>
      <c r="J93" s="12">
        <v>7.9536439999999997</v>
      </c>
      <c r="K93" s="12">
        <v>10.73837</v>
      </c>
      <c r="L93" s="12">
        <v>2.3241040000000002</v>
      </c>
      <c r="M93" s="12">
        <v>4.6167369999999996</v>
      </c>
      <c r="N93" s="11">
        <f t="shared" si="4"/>
        <v>19.187927000000002</v>
      </c>
      <c r="O93" s="11">
        <f t="shared" si="5"/>
        <v>18.888475999999997</v>
      </c>
      <c r="P93" s="11">
        <f t="shared" si="6"/>
        <v>21.016117999999999</v>
      </c>
      <c r="Q93" s="11">
        <f t="shared" si="7"/>
        <v>7.8191754999999992</v>
      </c>
    </row>
    <row r="94" spans="1:17" x14ac:dyDescent="0.25">
      <c r="A94">
        <v>1993</v>
      </c>
      <c r="B94" s="12">
        <v>2.3078919999999998</v>
      </c>
      <c r="C94" s="12">
        <v>0.89454650000000002</v>
      </c>
      <c r="D94" s="12">
        <v>7.4167259999999997</v>
      </c>
      <c r="E94" s="12">
        <v>6.8511959999999998</v>
      </c>
      <c r="F94" s="12">
        <v>11.53946</v>
      </c>
      <c r="G94" s="12">
        <v>15.920640000000001</v>
      </c>
      <c r="H94" s="12">
        <v>11.823650000000001</v>
      </c>
      <c r="I94" s="12">
        <v>5.882263</v>
      </c>
      <c r="J94" s="12">
        <v>2.4681090000000001</v>
      </c>
      <c r="K94" s="12">
        <v>3.816605</v>
      </c>
      <c r="L94" s="12">
        <v>3.3912659999999999</v>
      </c>
      <c r="M94" s="12">
        <v>5.5179600000000004</v>
      </c>
      <c r="N94" s="11">
        <f t="shared" si="4"/>
        <v>25.807381999999997</v>
      </c>
      <c r="O94" s="11">
        <f t="shared" si="5"/>
        <v>33.626553000000001</v>
      </c>
      <c r="P94" s="11">
        <f t="shared" si="6"/>
        <v>9.6759799999999991</v>
      </c>
      <c r="Q94" s="11">
        <f t="shared" si="7"/>
        <v>9.9420549999999999</v>
      </c>
    </row>
    <row r="95" spans="1:17" x14ac:dyDescent="0.25">
      <c r="A95">
        <v>1994</v>
      </c>
      <c r="B95" s="12">
        <v>1.7309190000000001</v>
      </c>
      <c r="C95" s="12">
        <v>2.6931759999999998</v>
      </c>
      <c r="D95" s="12">
        <v>2.3975369999999998</v>
      </c>
      <c r="E95" s="12">
        <v>6.9789890000000003</v>
      </c>
      <c r="F95" s="12">
        <v>11.86562</v>
      </c>
      <c r="G95" s="12">
        <v>11.80649</v>
      </c>
      <c r="H95" s="12">
        <v>10.34164</v>
      </c>
      <c r="I95" s="12">
        <v>6.8321230000000002</v>
      </c>
      <c r="J95" s="12">
        <v>9.9105830000000008</v>
      </c>
      <c r="K95" s="12">
        <v>5.569458</v>
      </c>
      <c r="L95" s="12">
        <v>7.3547359999999999</v>
      </c>
      <c r="M95" s="12">
        <v>3.9806370000000002</v>
      </c>
      <c r="N95" s="11">
        <f t="shared" si="4"/>
        <v>21.242145999999998</v>
      </c>
      <c r="O95" s="11">
        <f t="shared" si="5"/>
        <v>28.980253000000001</v>
      </c>
      <c r="P95" s="11">
        <f t="shared" si="6"/>
        <v>22.834776999999999</v>
      </c>
      <c r="Q95" s="11">
        <f t="shared" si="7"/>
        <v>8.0356610000000011</v>
      </c>
    </row>
    <row r="96" spans="1:17" x14ac:dyDescent="0.25">
      <c r="A96">
        <v>1995</v>
      </c>
      <c r="B96" s="12">
        <v>3.0002599999999999</v>
      </c>
      <c r="C96" s="12">
        <v>1.054764</v>
      </c>
      <c r="D96" s="12">
        <v>2.0980829999999999</v>
      </c>
      <c r="E96" s="12">
        <v>6.0768129999999996</v>
      </c>
      <c r="F96" s="12">
        <v>5.9127809999999998</v>
      </c>
      <c r="G96" s="12">
        <v>16.725539999999999</v>
      </c>
      <c r="H96" s="12">
        <v>11.56235</v>
      </c>
      <c r="I96" s="12">
        <v>11.35445</v>
      </c>
      <c r="J96" s="12">
        <v>4.0111540000000003</v>
      </c>
      <c r="K96" s="12">
        <v>4.2991640000000002</v>
      </c>
      <c r="L96" s="12">
        <v>2.4642940000000002</v>
      </c>
      <c r="M96" s="12">
        <v>0.28419489999999997</v>
      </c>
      <c r="N96" s="11">
        <f t="shared" si="4"/>
        <v>14.087676999999999</v>
      </c>
      <c r="O96" s="11">
        <f t="shared" si="5"/>
        <v>39.642339999999997</v>
      </c>
      <c r="P96" s="11">
        <f t="shared" si="6"/>
        <v>10.774612000000001</v>
      </c>
      <c r="Q96" s="11">
        <f t="shared" si="7"/>
        <v>6.1626439000000008</v>
      </c>
    </row>
    <row r="97" spans="1:17" x14ac:dyDescent="0.25">
      <c r="A97">
        <v>1996</v>
      </c>
      <c r="B97" s="12">
        <v>2.3460390000000002</v>
      </c>
      <c r="C97" s="12">
        <v>3.53241</v>
      </c>
      <c r="D97" s="12">
        <v>3.1414029999999999</v>
      </c>
      <c r="E97" s="12">
        <v>5.2604680000000004</v>
      </c>
      <c r="F97" s="12">
        <v>5.8917999999999999</v>
      </c>
      <c r="G97" s="12">
        <v>3.7841800000000001</v>
      </c>
      <c r="H97" s="12">
        <v>3.5800930000000002</v>
      </c>
      <c r="I97" s="12">
        <v>8.3045960000000001</v>
      </c>
      <c r="J97" s="12">
        <v>3.9157869999999999</v>
      </c>
      <c r="K97" s="12">
        <v>4.5261380000000004</v>
      </c>
      <c r="L97" s="12">
        <v>4.3182369999999999</v>
      </c>
      <c r="M97" s="12">
        <v>2.1133419999999998</v>
      </c>
      <c r="N97" s="11">
        <f t="shared" si="4"/>
        <v>14.293671</v>
      </c>
      <c r="O97" s="11">
        <f t="shared" si="5"/>
        <v>15.668869000000001</v>
      </c>
      <c r="P97" s="11">
        <f t="shared" si="6"/>
        <v>12.760162000000001</v>
      </c>
      <c r="Q97" s="11">
        <f t="shared" si="7"/>
        <v>10.416029999999999</v>
      </c>
    </row>
    <row r="98" spans="1:17" x14ac:dyDescent="0.25">
      <c r="A98">
        <v>1997</v>
      </c>
      <c r="B98" s="12">
        <v>3.7994379999999999</v>
      </c>
      <c r="C98" s="12">
        <v>4.5032500000000004</v>
      </c>
      <c r="D98" s="12">
        <v>1.789093</v>
      </c>
      <c r="E98" s="12">
        <v>10.2005</v>
      </c>
      <c r="F98" s="12">
        <v>4.1580199999999996</v>
      </c>
      <c r="G98" s="12">
        <v>10.52094</v>
      </c>
      <c r="H98" s="12">
        <v>14.10103</v>
      </c>
      <c r="I98" s="12">
        <v>7.0610049999999998</v>
      </c>
      <c r="J98" s="12">
        <v>5.3672789999999999</v>
      </c>
      <c r="K98" s="12">
        <v>5.5656429999999997</v>
      </c>
      <c r="L98" s="12">
        <v>5.6457519999999999</v>
      </c>
      <c r="M98" s="12">
        <v>3.6849980000000002</v>
      </c>
      <c r="N98" s="11">
        <f t="shared" si="4"/>
        <v>16.147613</v>
      </c>
      <c r="O98" s="11">
        <f t="shared" si="5"/>
        <v>31.682974999999999</v>
      </c>
      <c r="P98" s="11">
        <f t="shared" si="6"/>
        <v>16.578673999999999</v>
      </c>
      <c r="Q98" s="11">
        <f t="shared" si="7"/>
        <v>8.4724430000000002</v>
      </c>
    </row>
    <row r="99" spans="1:17" x14ac:dyDescent="0.25">
      <c r="A99">
        <v>1998</v>
      </c>
      <c r="B99" s="12">
        <v>2.1133419999999998</v>
      </c>
      <c r="C99" s="12">
        <v>2.6741030000000001</v>
      </c>
      <c r="D99" s="12">
        <v>2.0980829999999999</v>
      </c>
      <c r="E99" s="12">
        <v>2.6702880000000002</v>
      </c>
      <c r="F99" s="12">
        <v>2.6054379999999999</v>
      </c>
      <c r="G99" s="12">
        <v>3.8414000000000001</v>
      </c>
      <c r="H99" s="12">
        <v>6.896973</v>
      </c>
      <c r="I99" s="12">
        <v>7.934571</v>
      </c>
      <c r="J99" s="12">
        <v>3.297806</v>
      </c>
      <c r="K99" s="12">
        <v>1.6822809999999999</v>
      </c>
      <c r="L99" s="12">
        <v>1.6880040000000001</v>
      </c>
      <c r="M99" s="12">
        <v>1.1549</v>
      </c>
      <c r="N99" s="11">
        <f t="shared" ref="N99:N123" si="8">IF(AND(ISNUMBER(D99),ISNUMBER(E99),ISNUMBER(F99)),SUM(D99:F99),"")</f>
        <v>7.3738089999999996</v>
      </c>
      <c r="O99" s="11">
        <f t="shared" si="5"/>
        <v>18.672944000000001</v>
      </c>
      <c r="P99" s="11">
        <f t="shared" si="6"/>
        <v>6.6680910000000004</v>
      </c>
      <c r="Q99" s="11">
        <f t="shared" si="7"/>
        <v>4.2295460000000009</v>
      </c>
    </row>
    <row r="100" spans="1:17" x14ac:dyDescent="0.25">
      <c r="A100">
        <v>1999</v>
      </c>
      <c r="B100" s="12">
        <v>1.047134</v>
      </c>
      <c r="C100" s="12">
        <v>2.0275120000000002</v>
      </c>
      <c r="D100" s="12">
        <v>3.05748</v>
      </c>
      <c r="E100" s="12">
        <v>2.0809169999999999</v>
      </c>
      <c r="F100" s="12">
        <v>4.932404</v>
      </c>
      <c r="G100" s="12">
        <v>11.47461</v>
      </c>
      <c r="H100" s="12">
        <v>6.1340329999999996</v>
      </c>
      <c r="I100" s="12">
        <v>10.44083</v>
      </c>
      <c r="J100" s="12">
        <v>6.6795349999999996</v>
      </c>
      <c r="K100" s="12">
        <v>1.47438</v>
      </c>
      <c r="L100" s="12">
        <v>2.3345950000000002</v>
      </c>
      <c r="M100" s="12">
        <v>2.3422239999999999</v>
      </c>
      <c r="N100" s="11">
        <f t="shared" si="8"/>
        <v>10.070800999999999</v>
      </c>
      <c r="O100" s="11">
        <f t="shared" si="5"/>
        <v>28.049472999999999</v>
      </c>
      <c r="P100" s="11">
        <f t="shared" si="6"/>
        <v>10.48851</v>
      </c>
      <c r="Q100" s="11">
        <f t="shared" si="7"/>
        <v>9.7436909999999983</v>
      </c>
    </row>
    <row r="101" spans="1:17" x14ac:dyDescent="0.25">
      <c r="A101">
        <v>2000</v>
      </c>
      <c r="B101" s="12">
        <v>1.6813279999999999</v>
      </c>
      <c r="C101" s="12">
        <v>5.7201389999999996</v>
      </c>
      <c r="D101" s="12">
        <v>3.0431750000000002</v>
      </c>
      <c r="E101" s="12">
        <v>3.2672880000000002</v>
      </c>
      <c r="F101" s="12">
        <v>3.576279</v>
      </c>
      <c r="G101" s="12">
        <v>16.872409999999999</v>
      </c>
      <c r="H101" s="12">
        <v>11.837009999999999</v>
      </c>
      <c r="I101" s="12">
        <v>6.0272220000000001</v>
      </c>
      <c r="J101" s="12">
        <v>6.1988830000000004</v>
      </c>
      <c r="K101" s="12">
        <v>6.0348509999999997</v>
      </c>
      <c r="L101" s="12">
        <v>4.1389469999999999</v>
      </c>
      <c r="M101" s="12">
        <v>3.7937159999999999</v>
      </c>
      <c r="N101" s="11">
        <f t="shared" si="8"/>
        <v>9.8867419999999999</v>
      </c>
      <c r="O101" s="11">
        <f t="shared" si="5"/>
        <v>34.736641999999996</v>
      </c>
      <c r="P101" s="11">
        <f t="shared" si="6"/>
        <v>16.372681</v>
      </c>
      <c r="Q101" s="11">
        <f t="shared" si="7"/>
        <v>11.629104</v>
      </c>
    </row>
    <row r="102" spans="1:17" x14ac:dyDescent="0.25">
      <c r="A102">
        <v>2001</v>
      </c>
      <c r="B102" s="12">
        <v>5.8498380000000001</v>
      </c>
      <c r="C102" s="12">
        <v>1.9855499999999999</v>
      </c>
      <c r="D102" s="12">
        <v>3.0593870000000001</v>
      </c>
      <c r="E102" s="12">
        <v>3.5419459999999998</v>
      </c>
      <c r="F102" s="12">
        <v>12.90321</v>
      </c>
      <c r="G102" s="12">
        <v>13.30185</v>
      </c>
      <c r="H102" s="12">
        <v>13.740539999999999</v>
      </c>
      <c r="I102" s="12">
        <v>6.8244939999999996</v>
      </c>
      <c r="J102" s="12">
        <v>2.6168819999999999</v>
      </c>
      <c r="K102" s="12">
        <v>1.4877320000000001</v>
      </c>
      <c r="L102" s="12">
        <v>3.4084319999999999</v>
      </c>
      <c r="M102" s="12">
        <v>0.7247924</v>
      </c>
      <c r="N102" s="11">
        <f t="shared" si="8"/>
        <v>19.504542999999998</v>
      </c>
      <c r="O102" s="11">
        <f t="shared" si="5"/>
        <v>33.866883999999999</v>
      </c>
      <c r="P102" s="11">
        <f t="shared" si="6"/>
        <v>7.5130459999999992</v>
      </c>
      <c r="Q102" s="11">
        <f t="shared" si="7"/>
        <v>6.0997003999999997</v>
      </c>
    </row>
    <row r="103" spans="1:17" x14ac:dyDescent="0.25">
      <c r="A103">
        <v>2002</v>
      </c>
      <c r="B103" s="12">
        <v>1.928329</v>
      </c>
      <c r="C103" s="12">
        <v>3.4465789999999998</v>
      </c>
      <c r="D103" s="12">
        <v>5.7239529999999998</v>
      </c>
      <c r="E103" s="12">
        <v>6.9427490000000001</v>
      </c>
      <c r="F103" s="12">
        <v>9.7389220000000005</v>
      </c>
      <c r="G103" s="12">
        <v>8.9683530000000005</v>
      </c>
      <c r="H103" s="12">
        <v>5.1441189999999999</v>
      </c>
      <c r="I103" s="12">
        <v>9.7064970000000006</v>
      </c>
      <c r="J103" s="12">
        <v>6.6490179999999999</v>
      </c>
      <c r="K103" s="12">
        <v>14.4062</v>
      </c>
      <c r="L103" s="12">
        <v>8.5449219999999997</v>
      </c>
      <c r="M103" s="12">
        <v>3.6258699999999999</v>
      </c>
      <c r="N103" s="11">
        <f t="shared" si="8"/>
        <v>22.405624000000003</v>
      </c>
      <c r="O103" s="11">
        <f t="shared" si="5"/>
        <v>23.818969000000003</v>
      </c>
      <c r="P103" s="11">
        <f t="shared" si="6"/>
        <v>29.60014</v>
      </c>
      <c r="Q103" s="11">
        <f t="shared" si="7"/>
        <v>8.2111359999999998</v>
      </c>
    </row>
    <row r="104" spans="1:17" x14ac:dyDescent="0.25">
      <c r="A104">
        <v>2003</v>
      </c>
      <c r="B104" s="12">
        <v>3.025055</v>
      </c>
      <c r="C104" s="12">
        <v>1.560211</v>
      </c>
      <c r="D104" s="12">
        <v>1.7795559999999999</v>
      </c>
      <c r="E104" s="12">
        <v>2.851486</v>
      </c>
      <c r="F104" s="12">
        <v>3.5438540000000001</v>
      </c>
      <c r="G104" s="12">
        <v>18.363949999999999</v>
      </c>
      <c r="H104" s="12">
        <v>7.4367520000000003</v>
      </c>
      <c r="I104" s="12">
        <v>6.9332120000000002</v>
      </c>
      <c r="J104" s="12">
        <v>8.2626340000000003</v>
      </c>
      <c r="K104" s="12">
        <v>4.5337680000000002</v>
      </c>
      <c r="L104" s="12">
        <v>4.6672820000000002</v>
      </c>
      <c r="M104" s="12">
        <v>5.3157810000000003</v>
      </c>
      <c r="N104" s="11">
        <f t="shared" si="8"/>
        <v>8.1748960000000004</v>
      </c>
      <c r="O104" s="11">
        <f t="shared" si="5"/>
        <v>32.733913999999999</v>
      </c>
      <c r="P104" s="11">
        <f t="shared" si="6"/>
        <v>17.463684000000001</v>
      </c>
      <c r="Q104" s="11">
        <f t="shared" si="7"/>
        <v>7.1916579</v>
      </c>
    </row>
    <row r="105" spans="1:17" x14ac:dyDescent="0.25">
      <c r="A105">
        <v>2004</v>
      </c>
      <c r="B105" s="12">
        <v>0.70285790000000004</v>
      </c>
      <c r="C105" s="12">
        <v>1.173019</v>
      </c>
      <c r="D105" s="12">
        <v>3.0117029999999998</v>
      </c>
      <c r="E105" s="12">
        <v>13.0291</v>
      </c>
      <c r="F105" s="12">
        <v>1.3046260000000001</v>
      </c>
      <c r="G105" s="12">
        <v>17.37595</v>
      </c>
      <c r="H105" s="12">
        <v>9.1133120000000005</v>
      </c>
      <c r="I105" s="12">
        <v>4.6463010000000002</v>
      </c>
      <c r="J105" s="12">
        <v>6.2294010000000002</v>
      </c>
      <c r="K105" s="12">
        <v>6.361008</v>
      </c>
      <c r="L105" s="12">
        <v>3.2482150000000001</v>
      </c>
      <c r="M105" s="12">
        <v>4.1046139999999998</v>
      </c>
      <c r="N105" s="11">
        <f t="shared" si="8"/>
        <v>17.345428999999999</v>
      </c>
      <c r="O105" s="11">
        <f t="shared" si="5"/>
        <v>31.135563000000001</v>
      </c>
      <c r="P105" s="11">
        <f t="shared" si="6"/>
        <v>15.838624000000001</v>
      </c>
      <c r="Q105" s="11">
        <f t="shared" si="7"/>
        <v>7.7705380000000002</v>
      </c>
    </row>
    <row r="106" spans="1:17" x14ac:dyDescent="0.25">
      <c r="A106">
        <v>2005</v>
      </c>
      <c r="B106" s="12">
        <v>2.3994450000000001</v>
      </c>
      <c r="C106" s="12">
        <v>1.2664789999999999</v>
      </c>
      <c r="D106" s="12">
        <v>4.8065189999999998</v>
      </c>
      <c r="E106" s="12">
        <v>2.885818</v>
      </c>
      <c r="F106" s="12">
        <v>18.903729999999999</v>
      </c>
      <c r="G106" s="12">
        <v>13.4201</v>
      </c>
      <c r="H106" s="12">
        <v>6.5593719999999998</v>
      </c>
      <c r="I106" s="12">
        <v>9.2430109999999992</v>
      </c>
      <c r="J106" s="12">
        <v>2.182007</v>
      </c>
      <c r="K106" s="12">
        <v>3.2119749999999998</v>
      </c>
      <c r="L106" s="12">
        <v>8.4114070000000005</v>
      </c>
      <c r="M106" s="12">
        <v>2.7475360000000002</v>
      </c>
      <c r="N106" s="11">
        <f t="shared" si="8"/>
        <v>26.596066999999998</v>
      </c>
      <c r="O106" s="11">
        <f t="shared" si="5"/>
        <v>29.222483</v>
      </c>
      <c r="P106" s="11">
        <f t="shared" si="6"/>
        <v>13.805389</v>
      </c>
      <c r="Q106" s="11">
        <f t="shared" si="7"/>
        <v>11.345863999999999</v>
      </c>
    </row>
    <row r="107" spans="1:17" x14ac:dyDescent="0.25">
      <c r="A107">
        <v>2006</v>
      </c>
      <c r="B107" s="12">
        <v>6.4334870000000004</v>
      </c>
      <c r="C107" s="12">
        <v>2.164841</v>
      </c>
      <c r="D107" s="12">
        <v>4.3888090000000002</v>
      </c>
      <c r="E107" s="12">
        <v>6.5574649999999997</v>
      </c>
      <c r="F107" s="12">
        <v>5.3482060000000002</v>
      </c>
      <c r="G107" s="12">
        <v>14.190670000000001</v>
      </c>
      <c r="H107" s="12">
        <v>15.083310000000001</v>
      </c>
      <c r="I107" s="12">
        <v>8.2664489999999997</v>
      </c>
      <c r="J107" s="12">
        <v>4.543304</v>
      </c>
      <c r="K107" s="12">
        <v>5.6972500000000004</v>
      </c>
      <c r="L107" s="12">
        <v>3.2176969999999998</v>
      </c>
      <c r="M107" s="12">
        <v>6.896973</v>
      </c>
      <c r="N107" s="11">
        <f t="shared" si="8"/>
        <v>16.29448</v>
      </c>
      <c r="O107" s="11">
        <f t="shared" si="5"/>
        <v>37.540429000000003</v>
      </c>
      <c r="P107" s="11">
        <f t="shared" si="6"/>
        <v>13.458250999999999</v>
      </c>
      <c r="Q107" s="11">
        <f t="shared" si="7"/>
        <v>10.590553</v>
      </c>
    </row>
    <row r="108" spans="1:17" x14ac:dyDescent="0.25">
      <c r="A108">
        <v>2007</v>
      </c>
      <c r="B108" s="12">
        <v>1.155853</v>
      </c>
      <c r="C108" s="12">
        <v>2.5377269999999998</v>
      </c>
      <c r="D108" s="12">
        <v>1.316071</v>
      </c>
      <c r="E108" s="12">
        <v>5.4550169999999998</v>
      </c>
      <c r="F108" s="12">
        <v>3.1433110000000002</v>
      </c>
      <c r="G108" s="12">
        <v>8.916855</v>
      </c>
      <c r="H108" s="12">
        <v>9.3708039999999997</v>
      </c>
      <c r="I108" s="12">
        <v>5.6152340000000001</v>
      </c>
      <c r="J108" s="12">
        <v>5.7621010000000004</v>
      </c>
      <c r="K108" s="12">
        <v>8.1481929999999991</v>
      </c>
      <c r="L108" s="12">
        <v>2.1400450000000002</v>
      </c>
      <c r="M108" s="12">
        <v>2.655983</v>
      </c>
      <c r="N108" s="11">
        <f t="shared" si="8"/>
        <v>9.9143989999999995</v>
      </c>
      <c r="O108" s="11">
        <f t="shared" si="5"/>
        <v>23.902892999999999</v>
      </c>
      <c r="P108" s="11">
        <f t="shared" si="6"/>
        <v>16.050339000000001</v>
      </c>
      <c r="Q108" s="11">
        <f t="shared" si="7"/>
        <v>5.5418012000000001</v>
      </c>
    </row>
    <row r="109" spans="1:17" x14ac:dyDescent="0.25">
      <c r="A109">
        <v>2008</v>
      </c>
      <c r="B109" s="12">
        <v>1.9493100000000001</v>
      </c>
      <c r="C109" s="12">
        <v>0.93650820000000001</v>
      </c>
      <c r="D109" s="12">
        <v>1.6937260000000001</v>
      </c>
      <c r="E109" s="12">
        <v>4.1093830000000002</v>
      </c>
      <c r="F109" s="12">
        <v>9.5233919999999994</v>
      </c>
      <c r="G109" s="12">
        <v>6.206512</v>
      </c>
      <c r="H109" s="12">
        <v>11.123659999999999</v>
      </c>
      <c r="I109" s="12">
        <v>15.26642</v>
      </c>
      <c r="J109" s="12">
        <v>2.662658</v>
      </c>
      <c r="K109" s="12">
        <v>2.813339</v>
      </c>
      <c r="L109" s="12">
        <v>4.5948029999999997</v>
      </c>
      <c r="M109" s="12">
        <v>1.451492</v>
      </c>
      <c r="N109" s="11">
        <f t="shared" si="8"/>
        <v>15.326501</v>
      </c>
      <c r="O109" s="11">
        <f t="shared" si="5"/>
        <v>32.596592000000001</v>
      </c>
      <c r="P109" s="11">
        <f t="shared" si="6"/>
        <v>10.070799999999998</v>
      </c>
      <c r="Q109" s="11">
        <f t="shared" si="7"/>
        <v>4.7721859999999996</v>
      </c>
    </row>
    <row r="110" spans="1:17" x14ac:dyDescent="0.25">
      <c r="A110">
        <v>2009</v>
      </c>
      <c r="B110" s="12">
        <v>1.264572</v>
      </c>
      <c r="C110" s="12">
        <v>2.0561219999999998</v>
      </c>
      <c r="D110" s="12">
        <v>2.6969910000000001</v>
      </c>
      <c r="E110" s="12">
        <v>5.1631929999999997</v>
      </c>
      <c r="F110" s="12">
        <v>13.30185</v>
      </c>
      <c r="G110" s="12">
        <v>6.708145</v>
      </c>
      <c r="H110" s="12">
        <v>5.3672789999999999</v>
      </c>
      <c r="I110" s="12">
        <v>15.71655</v>
      </c>
      <c r="J110" s="12">
        <v>3.4389500000000002</v>
      </c>
      <c r="K110" s="12">
        <v>9.4394679999999997</v>
      </c>
      <c r="L110" s="12">
        <v>7.8258510000000001</v>
      </c>
      <c r="M110" s="12">
        <v>4.9934390000000004</v>
      </c>
      <c r="N110" s="11">
        <f t="shared" si="8"/>
        <v>21.162033999999998</v>
      </c>
      <c r="O110" s="11">
        <f t="shared" si="5"/>
        <v>27.791974</v>
      </c>
      <c r="P110" s="11">
        <f t="shared" si="6"/>
        <v>20.704269</v>
      </c>
      <c r="Q110" s="11">
        <f t="shared" si="7"/>
        <v>11.425019000000001</v>
      </c>
    </row>
    <row r="111" spans="1:17" x14ac:dyDescent="0.25">
      <c r="A111">
        <v>2010</v>
      </c>
      <c r="B111" s="12">
        <v>2.437592</v>
      </c>
      <c r="C111" s="12">
        <v>3.9939879999999999</v>
      </c>
      <c r="D111" s="12">
        <v>2.7294160000000001</v>
      </c>
      <c r="E111" s="12">
        <v>3.2062529999999998</v>
      </c>
      <c r="F111" s="12">
        <v>4.3010710000000003</v>
      </c>
      <c r="G111" s="12">
        <v>11.8103</v>
      </c>
      <c r="H111" s="12">
        <v>9.2315670000000001</v>
      </c>
      <c r="I111" s="12">
        <v>10.00977</v>
      </c>
      <c r="J111" s="12">
        <v>2.3765559999999999</v>
      </c>
      <c r="K111" s="12">
        <v>3.0326840000000002</v>
      </c>
      <c r="L111" s="12">
        <v>4.4574740000000004</v>
      </c>
      <c r="M111" s="12">
        <v>5.4645539999999997</v>
      </c>
      <c r="N111" s="11">
        <f t="shared" si="8"/>
        <v>10.236740000000001</v>
      </c>
      <c r="O111" s="11">
        <f t="shared" si="5"/>
        <v>31.051636999999999</v>
      </c>
      <c r="P111" s="11">
        <f t="shared" si="6"/>
        <v>9.8667140000000018</v>
      </c>
      <c r="Q111" s="11">
        <f t="shared" si="7"/>
        <v>10.982514</v>
      </c>
    </row>
    <row r="112" spans="1:17" x14ac:dyDescent="0.25">
      <c r="A112">
        <v>2011</v>
      </c>
      <c r="B112" s="12">
        <v>3.7631990000000002</v>
      </c>
      <c r="C112" s="12">
        <v>1.754761</v>
      </c>
      <c r="D112" s="12">
        <v>4.0941239999999999</v>
      </c>
      <c r="E112" s="12">
        <v>5.802155</v>
      </c>
      <c r="F112" s="12">
        <v>3.6029810000000002</v>
      </c>
      <c r="G112" s="12">
        <v>8.5067749999999993</v>
      </c>
      <c r="H112" s="12">
        <v>9.8571779999999993</v>
      </c>
      <c r="I112" s="12">
        <v>9.7694399999999995</v>
      </c>
      <c r="J112" s="12">
        <v>7.7323909999999998</v>
      </c>
      <c r="K112" s="12">
        <v>1.686096</v>
      </c>
      <c r="L112" s="12">
        <v>3.705978</v>
      </c>
      <c r="M112" s="12">
        <v>1.731873</v>
      </c>
      <c r="N112" s="11">
        <f t="shared" si="8"/>
        <v>13.49926</v>
      </c>
      <c r="O112" s="11">
        <f t="shared" si="5"/>
        <v>28.133392999999998</v>
      </c>
      <c r="P112" s="11">
        <f t="shared" si="6"/>
        <v>13.124464999999999</v>
      </c>
      <c r="Q112" s="11">
        <f t="shared" si="7"/>
        <v>14.08577</v>
      </c>
    </row>
    <row r="113" spans="1:17" x14ac:dyDescent="0.25">
      <c r="A113">
        <v>2012</v>
      </c>
      <c r="B113" s="12">
        <v>5.592346</v>
      </c>
      <c r="C113" s="12">
        <v>6.7615509999999999</v>
      </c>
      <c r="D113" s="12">
        <v>1.4991760000000001</v>
      </c>
      <c r="E113" s="12">
        <v>2.7246480000000002</v>
      </c>
      <c r="F113" s="12">
        <v>9.1819760000000006</v>
      </c>
      <c r="G113" s="12">
        <v>13.97133</v>
      </c>
      <c r="H113" s="12">
        <v>7.5912480000000002</v>
      </c>
      <c r="I113" s="12">
        <v>6.3095090000000003</v>
      </c>
      <c r="J113" s="12">
        <v>4.8789980000000002</v>
      </c>
      <c r="K113" s="12">
        <v>1.977921</v>
      </c>
      <c r="L113" s="12">
        <v>1.5983579999999999</v>
      </c>
      <c r="M113" s="12">
        <v>10.880470000000001</v>
      </c>
      <c r="N113" s="11">
        <f t="shared" si="8"/>
        <v>13.405800000000001</v>
      </c>
      <c r="O113" s="11">
        <f t="shared" si="5"/>
        <v>27.872087000000001</v>
      </c>
      <c r="P113" s="11">
        <f t="shared" si="6"/>
        <v>8.4552770000000006</v>
      </c>
      <c r="Q113" s="11">
        <f t="shared" si="7"/>
        <v>17.243385</v>
      </c>
    </row>
    <row r="114" spans="1:17" x14ac:dyDescent="0.25">
      <c r="A114">
        <v>2013</v>
      </c>
      <c r="B114" s="12">
        <v>1.4152530000000001</v>
      </c>
      <c r="C114" s="12">
        <v>4.9476620000000002</v>
      </c>
      <c r="D114" s="12">
        <v>2.857208</v>
      </c>
      <c r="E114" s="12">
        <v>3.8127900000000001</v>
      </c>
      <c r="F114" s="12">
        <v>10.143280000000001</v>
      </c>
      <c r="G114" s="12">
        <v>9.7217559999999992</v>
      </c>
      <c r="H114" s="12">
        <v>7.5607300000000004</v>
      </c>
      <c r="I114" s="12">
        <v>12.069699999999999</v>
      </c>
      <c r="J114" s="12">
        <v>8.3808900000000008</v>
      </c>
      <c r="K114" s="12">
        <v>2.2354129999999999</v>
      </c>
      <c r="L114" s="12">
        <v>3.3798219999999999</v>
      </c>
      <c r="M114" s="12">
        <v>1.4877320000000001</v>
      </c>
      <c r="N114" s="11">
        <f t="shared" si="8"/>
        <v>16.813278</v>
      </c>
      <c r="O114" s="11">
        <f t="shared" si="5"/>
        <v>29.352185999999996</v>
      </c>
      <c r="P114" s="11">
        <f t="shared" si="6"/>
        <v>13.996124999999999</v>
      </c>
      <c r="Q114" s="11">
        <f t="shared" si="7"/>
        <v>7.7419289999999998</v>
      </c>
    </row>
    <row r="115" spans="1:17" x14ac:dyDescent="0.25">
      <c r="A115">
        <v>2014</v>
      </c>
      <c r="B115" s="12">
        <v>3.9196019999999998</v>
      </c>
      <c r="C115" s="12">
        <v>2.3345950000000002</v>
      </c>
      <c r="D115" s="12">
        <v>4.665375</v>
      </c>
      <c r="E115" s="12">
        <v>5.6858060000000004</v>
      </c>
      <c r="F115" s="12">
        <v>7.2631839999999999</v>
      </c>
      <c r="G115" s="12">
        <v>9.8533629999999999</v>
      </c>
      <c r="H115" s="12">
        <v>9.4356539999999995</v>
      </c>
      <c r="I115" s="12">
        <v>7.511139</v>
      </c>
      <c r="J115" s="12">
        <v>7.8296659999999996</v>
      </c>
      <c r="K115" s="12">
        <v>5.7544709999999997</v>
      </c>
      <c r="L115" s="12">
        <v>3.2606130000000002</v>
      </c>
      <c r="M115" s="12">
        <v>1.7871859999999999</v>
      </c>
      <c r="N115" s="11">
        <f t="shared" si="8"/>
        <v>17.614364999999999</v>
      </c>
      <c r="O115" s="11">
        <f t="shared" si="5"/>
        <v>26.800156000000001</v>
      </c>
      <c r="P115" s="11">
        <f t="shared" si="6"/>
        <v>16.844749999999998</v>
      </c>
      <c r="Q115" s="11">
        <f t="shared" si="7"/>
        <v>2.7637485000000002</v>
      </c>
    </row>
    <row r="116" spans="1:17" x14ac:dyDescent="0.25">
      <c r="A116">
        <v>2015</v>
      </c>
      <c r="B116" s="12">
        <v>0.2326965</v>
      </c>
      <c r="C116" s="12">
        <v>0.74386600000000003</v>
      </c>
      <c r="D116" s="12">
        <v>0.78201299999999996</v>
      </c>
      <c r="E116" s="12">
        <v>3.8852690000000001</v>
      </c>
      <c r="F116" s="12">
        <v>8.4953310000000002</v>
      </c>
      <c r="G116" s="12">
        <v>12.07924</v>
      </c>
      <c r="H116" s="12">
        <v>13.8607</v>
      </c>
      <c r="I116" s="12">
        <v>12.283329999999999</v>
      </c>
      <c r="J116" s="12">
        <v>4.2896270000000003</v>
      </c>
      <c r="K116" s="12">
        <v>2.4242400000000002</v>
      </c>
      <c r="L116" s="12">
        <v>3.4999850000000001</v>
      </c>
      <c r="M116" s="12">
        <v>2.6130680000000002</v>
      </c>
      <c r="N116" s="11">
        <f t="shared" si="8"/>
        <v>13.162613</v>
      </c>
      <c r="O116" s="11">
        <f t="shared" si="5"/>
        <v>38.223269999999999</v>
      </c>
      <c r="P116" s="11">
        <f t="shared" si="6"/>
        <v>10.213852000000001</v>
      </c>
      <c r="Q116" s="11">
        <f t="shared" si="7"/>
        <v>5.7983400000000005</v>
      </c>
    </row>
    <row r="117" spans="1:17" x14ac:dyDescent="0.25">
      <c r="A117">
        <v>2016</v>
      </c>
      <c r="B117" s="12">
        <v>1.0280609999999999</v>
      </c>
      <c r="C117" s="12">
        <v>2.1572110000000002</v>
      </c>
      <c r="D117" s="12">
        <v>1.04332</v>
      </c>
      <c r="E117" s="12">
        <v>4.75502</v>
      </c>
      <c r="F117" s="12">
        <v>1.462936</v>
      </c>
      <c r="G117" s="12">
        <v>1.5335080000000001</v>
      </c>
      <c r="H117" s="12">
        <v>5.8841710000000003</v>
      </c>
      <c r="I117" s="12">
        <v>11.09695</v>
      </c>
      <c r="J117" s="12">
        <v>3.1509399999999999</v>
      </c>
      <c r="K117" s="12">
        <v>4.9610139999999996</v>
      </c>
      <c r="L117" s="12">
        <v>3.393173</v>
      </c>
      <c r="M117" s="12">
        <v>3.805161</v>
      </c>
      <c r="N117" s="11">
        <f t="shared" si="8"/>
        <v>7.2612759999999996</v>
      </c>
      <c r="O117" s="11">
        <f t="shared" si="5"/>
        <v>18.514628999999999</v>
      </c>
      <c r="P117" s="11">
        <f t="shared" si="6"/>
        <v>11.505126999999998</v>
      </c>
      <c r="Q117" s="11">
        <f t="shared" si="7"/>
        <v>11.094092999999999</v>
      </c>
    </row>
    <row r="118" spans="1:17" x14ac:dyDescent="0.25">
      <c r="A118">
        <v>2017</v>
      </c>
      <c r="B118" s="12">
        <v>3.5095209999999999</v>
      </c>
      <c r="C118" s="12">
        <v>3.7794110000000001</v>
      </c>
      <c r="D118" s="12">
        <v>2.9230119999999999</v>
      </c>
      <c r="E118" s="12">
        <v>5.2738189999999996</v>
      </c>
      <c r="F118" s="12">
        <v>6.4640050000000002</v>
      </c>
      <c r="G118" s="12">
        <v>10.02502</v>
      </c>
      <c r="H118" s="12">
        <v>7.032394</v>
      </c>
      <c r="I118" s="12">
        <v>13.36098</v>
      </c>
      <c r="J118" s="12">
        <v>4.0702819999999997</v>
      </c>
      <c r="K118" s="12">
        <v>10.002140000000001</v>
      </c>
      <c r="L118" s="12">
        <v>1.88446</v>
      </c>
      <c r="M118" s="12">
        <v>3.9081570000000001</v>
      </c>
      <c r="N118" s="11">
        <f t="shared" si="8"/>
        <v>14.660836</v>
      </c>
      <c r="O118" s="11">
        <f t="shared" si="5"/>
        <v>30.418393999999999</v>
      </c>
      <c r="P118" s="11">
        <f t="shared" si="6"/>
        <v>15.956882</v>
      </c>
      <c r="Q118" s="11">
        <f t="shared" si="7"/>
        <v>7.3957440000000005</v>
      </c>
    </row>
    <row r="119" spans="1:17" x14ac:dyDescent="0.25">
      <c r="A119">
        <v>2018</v>
      </c>
      <c r="B119" s="12">
        <v>2.1562579999999998</v>
      </c>
      <c r="C119" s="12">
        <v>1.331329</v>
      </c>
      <c r="D119" s="12">
        <v>6.8225860000000003</v>
      </c>
      <c r="E119" s="12">
        <v>6.7806240000000004</v>
      </c>
      <c r="F119" s="12">
        <v>5.0048830000000004</v>
      </c>
      <c r="G119" s="12">
        <v>10.82039</v>
      </c>
      <c r="H119" s="12">
        <v>5.6056980000000003</v>
      </c>
      <c r="I119" s="12">
        <v>7.6484680000000003</v>
      </c>
      <c r="J119" s="12">
        <v>9.2773439999999994</v>
      </c>
      <c r="K119" s="12">
        <v>6.2551500000000004</v>
      </c>
      <c r="L119" s="12">
        <v>5.3825380000000003</v>
      </c>
      <c r="M119" s="12">
        <v>2.3956300000000001</v>
      </c>
      <c r="N119" s="11">
        <f t="shared" si="8"/>
        <v>18.608093</v>
      </c>
      <c r="O119" s="11">
        <f t="shared" si="5"/>
        <v>24.074556000000001</v>
      </c>
      <c r="P119" s="11">
        <f t="shared" si="6"/>
        <v>20.915032</v>
      </c>
      <c r="Q119" s="11">
        <f t="shared" si="7"/>
        <v>4.8246390000000003</v>
      </c>
    </row>
    <row r="120" spans="1:17" x14ac:dyDescent="0.25">
      <c r="A120">
        <v>2019</v>
      </c>
      <c r="B120" s="12">
        <v>1.6469959999999999</v>
      </c>
      <c r="C120" s="12">
        <v>0.78201299999999996</v>
      </c>
      <c r="D120" s="12">
        <v>2.5577549999999998</v>
      </c>
      <c r="E120" s="12">
        <v>2.71225</v>
      </c>
      <c r="F120" s="12">
        <v>6.6776280000000003</v>
      </c>
      <c r="G120" s="12">
        <v>12.60567</v>
      </c>
      <c r="H120" s="12">
        <v>12.743</v>
      </c>
      <c r="I120" s="12">
        <v>7.1029660000000003</v>
      </c>
      <c r="J120" s="12">
        <v>4.0626530000000001</v>
      </c>
      <c r="K120" s="12">
        <v>4.184723</v>
      </c>
      <c r="L120" s="12">
        <v>5.4302219999999997</v>
      </c>
      <c r="M120" s="12">
        <v>2.0809169999999999</v>
      </c>
      <c r="N120">
        <f t="shared" si="8"/>
        <v>11.947633</v>
      </c>
      <c r="O120">
        <f t="shared" si="5"/>
        <v>32.451636000000001</v>
      </c>
      <c r="P120">
        <f t="shared" si="6"/>
        <v>13.677598</v>
      </c>
      <c r="Q120">
        <f t="shared" si="7"/>
        <v>7.1392059999999997</v>
      </c>
    </row>
    <row r="121" spans="1:17" x14ac:dyDescent="0.25">
      <c r="A121">
        <v>2020</v>
      </c>
      <c r="B121" s="12">
        <v>3.0555729999999999</v>
      </c>
      <c r="C121" s="12">
        <v>2.0027159999999999</v>
      </c>
      <c r="D121" s="12">
        <v>2.0885470000000002</v>
      </c>
      <c r="E121" s="12">
        <v>2.521515</v>
      </c>
      <c r="F121" s="12">
        <v>7.3032380000000003</v>
      </c>
      <c r="G121" s="12">
        <v>12.64954</v>
      </c>
      <c r="H121" s="12">
        <v>11.24573</v>
      </c>
      <c r="I121" s="12">
        <v>7.766724</v>
      </c>
      <c r="J121" s="12">
        <v>4.5967099999999999</v>
      </c>
      <c r="K121" s="12">
        <v>2.9678339999999999</v>
      </c>
      <c r="L121" s="12">
        <v>2.9258730000000002</v>
      </c>
      <c r="M121" s="12">
        <v>3.860474</v>
      </c>
      <c r="N121">
        <f t="shared" si="8"/>
        <v>11.9133</v>
      </c>
      <c r="O121">
        <f t="shared" si="5"/>
        <v>31.661994</v>
      </c>
      <c r="P121">
        <f t="shared" si="6"/>
        <v>10.490417000000001</v>
      </c>
      <c r="Q121">
        <f t="shared" si="7"/>
        <v>6.1683659999999998</v>
      </c>
    </row>
    <row r="122" spans="1:17" x14ac:dyDescent="0.25">
      <c r="A122">
        <v>2021</v>
      </c>
      <c r="B122" s="12">
        <v>1.804352</v>
      </c>
      <c r="C122" s="12">
        <v>0.50353999999999999</v>
      </c>
      <c r="D122" s="12">
        <v>1.660347</v>
      </c>
      <c r="E122" s="12">
        <v>3.1013489999999999</v>
      </c>
      <c r="F122" s="12">
        <v>7.2956089999999998</v>
      </c>
      <c r="G122" s="12">
        <v>8.5010530000000006</v>
      </c>
      <c r="H122" s="12">
        <v>4.9896240000000001</v>
      </c>
      <c r="I122" s="12">
        <v>8.9759829999999994</v>
      </c>
      <c r="J122" s="12">
        <v>3.2577509999999998</v>
      </c>
      <c r="K122" s="12">
        <v>3.2081599999999999</v>
      </c>
      <c r="L122" s="12">
        <v>2.4871829999999999</v>
      </c>
      <c r="M122" s="12">
        <v>2.1629330000000002</v>
      </c>
      <c r="N122">
        <f t="shared" si="8"/>
        <v>12.057304999999999</v>
      </c>
      <c r="O122">
        <f t="shared" si="5"/>
        <v>22.466660000000001</v>
      </c>
      <c r="P122">
        <f t="shared" si="6"/>
        <v>8.9530940000000001</v>
      </c>
      <c r="Q122">
        <f t="shared" si="7"/>
        <v>10.283469</v>
      </c>
    </row>
    <row r="123" spans="1:17" x14ac:dyDescent="0.25">
      <c r="A123">
        <v>2022</v>
      </c>
      <c r="B123" s="12">
        <v>4.1627879999999999</v>
      </c>
      <c r="C123" s="12">
        <v>3.957748</v>
      </c>
      <c r="D123" s="12">
        <v>3.9710999999999999</v>
      </c>
      <c r="E123" s="12">
        <v>8.9721679999999999</v>
      </c>
      <c r="F123" s="12">
        <v>5.2032470000000002</v>
      </c>
      <c r="G123" s="12">
        <v>9.2334750000000003</v>
      </c>
      <c r="H123" s="12">
        <v>13.14354</v>
      </c>
      <c r="I123" s="12">
        <v>6.8511959999999998</v>
      </c>
      <c r="J123" s="12">
        <v>4.2915340000000004</v>
      </c>
      <c r="K123" s="12">
        <v>5.1193239999999998</v>
      </c>
      <c r="L123" s="12">
        <v>1.6555789999999999</v>
      </c>
      <c r="M123" s="12">
        <v>1.941681</v>
      </c>
      <c r="N123">
        <f t="shared" si="8"/>
        <v>18.146515000000001</v>
      </c>
      <c r="O123">
        <f t="shared" si="5"/>
        <v>29.228211000000002</v>
      </c>
      <c r="P123">
        <f t="shared" si="6"/>
        <v>11.066437000000001</v>
      </c>
      <c r="Q123">
        <f t="shared" si="7"/>
        <v>4.5156480000000006</v>
      </c>
    </row>
    <row r="124" spans="1:17" x14ac:dyDescent="0.25">
      <c r="B124" s="12">
        <v>1.1081700000000001</v>
      </c>
      <c r="C124" s="12">
        <v>1.465797</v>
      </c>
      <c r="D124" s="12">
        <v>3.2367710000000001</v>
      </c>
      <c r="E124" s="12">
        <v>3.5247799999999998</v>
      </c>
      <c r="F124" s="12">
        <v>6.0138699999999998</v>
      </c>
      <c r="G124" s="12">
        <v>14.017110000000001</v>
      </c>
      <c r="H124" s="12">
        <v>11.390689999999999</v>
      </c>
      <c r="I124" s="12">
        <v>-999.9</v>
      </c>
      <c r="J124" s="12">
        <v>-999.9</v>
      </c>
      <c r="K124" s="12">
        <v>-999.9</v>
      </c>
      <c r="L124" s="12">
        <v>-999.9</v>
      </c>
      <c r="M124" s="12">
        <v>-999.9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92CE7-9157-4BF8-A527-4E0113440491}">
  <dimension ref="A1:Q124"/>
  <sheetViews>
    <sheetView zoomScale="70" zoomScaleNormal="70" workbookViewId="0"/>
  </sheetViews>
  <sheetFormatPr defaultColWidth="11" defaultRowHeight="15" x14ac:dyDescent="0.25"/>
  <cols>
    <col min="2" max="4" width="5" bestFit="1" customWidth="1"/>
    <col min="5" max="5" width="4" bestFit="1" customWidth="1"/>
    <col min="6" max="6" width="4.5703125" bestFit="1" customWidth="1"/>
    <col min="7" max="7" width="4" bestFit="1" customWidth="1"/>
    <col min="8" max="8" width="5" bestFit="1" customWidth="1"/>
    <col min="9" max="10" width="4" bestFit="1" customWidth="1"/>
    <col min="11" max="13" width="5" bestFit="1" customWidth="1"/>
    <col min="14" max="17" width="12" bestFit="1" customWidth="1"/>
  </cols>
  <sheetData>
    <row r="1" spans="1:17" x14ac:dyDescent="0.25">
      <c r="A1" s="1" t="s">
        <v>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</row>
    <row r="3" spans="1:17" x14ac:dyDescent="0.25">
      <c r="A3">
        <v>1902</v>
      </c>
      <c r="B3">
        <v>17.8</v>
      </c>
      <c r="C3">
        <v>72.5</v>
      </c>
      <c r="D3">
        <v>206.4</v>
      </c>
      <c r="E3">
        <v>169</v>
      </c>
      <c r="F3">
        <v>437.5</v>
      </c>
      <c r="G3">
        <v>302.8</v>
      </c>
      <c r="H3">
        <v>178.8</v>
      </c>
      <c r="I3">
        <v>206.5</v>
      </c>
      <c r="J3">
        <v>73</v>
      </c>
      <c r="K3">
        <v>41.5</v>
      </c>
      <c r="L3">
        <v>68.599999999999994</v>
      </c>
      <c r="M3">
        <v>34.299999999999997</v>
      </c>
      <c r="N3" s="11">
        <f t="shared" ref="N3:N34" si="0">IF(AND(ISNUMBER(D3),ISNUMBER(E3),ISNUMBER(F3)),SUM(D3:F3),"")</f>
        <v>812.9</v>
      </c>
      <c r="O3" s="11">
        <f t="shared" ref="O3:O66" si="1">IF(AND(ISNUMBER(G3),ISNUMBER(H3),ISNUMBER(I3)),SUM(G3:I3),"")</f>
        <v>688.1</v>
      </c>
      <c r="P3" s="11">
        <f t="shared" ref="P3:P66" si="2">IF(AND(ISNUMBER(J3),ISNUMBER(K3),ISNUMBER(L3)),SUM(J3:L3),"")</f>
        <v>183.1</v>
      </c>
      <c r="Q3" s="11">
        <f t="shared" ref="Q3:Q66" si="3">IF(AND(ISNUMBER(M3),ISNUMBER(B4),ISNUMBER(C4)),SUM(M3,B4:C4),"")</f>
        <v>81.8</v>
      </c>
    </row>
    <row r="4" spans="1:17" x14ac:dyDescent="0.25">
      <c r="A4">
        <v>1903</v>
      </c>
      <c r="B4">
        <v>21</v>
      </c>
      <c r="C4">
        <v>26.5</v>
      </c>
      <c r="D4">
        <v>121</v>
      </c>
      <c r="E4">
        <v>87.7</v>
      </c>
      <c r="F4">
        <v>101.4</v>
      </c>
      <c r="G4">
        <v>322.10000000000002</v>
      </c>
      <c r="H4">
        <v>103.4</v>
      </c>
      <c r="I4">
        <v>151.6</v>
      </c>
      <c r="J4">
        <v>87.3</v>
      </c>
      <c r="K4">
        <v>65.599999999999994</v>
      </c>
      <c r="L4">
        <v>48.1</v>
      </c>
      <c r="M4">
        <v>80.5</v>
      </c>
      <c r="N4" s="11">
        <f t="shared" si="0"/>
        <v>310.10000000000002</v>
      </c>
      <c r="O4" s="11">
        <f t="shared" si="1"/>
        <v>577.1</v>
      </c>
      <c r="P4" s="11">
        <f t="shared" si="2"/>
        <v>200.99999999999997</v>
      </c>
      <c r="Q4" s="11">
        <f t="shared" si="3"/>
        <v>168.9</v>
      </c>
    </row>
    <row r="5" spans="1:17" x14ac:dyDescent="0.25">
      <c r="A5">
        <v>1904</v>
      </c>
      <c r="B5">
        <v>63.6</v>
      </c>
      <c r="C5">
        <v>24.8</v>
      </c>
      <c r="D5">
        <v>77.8</v>
      </c>
      <c r="E5">
        <v>108.4</v>
      </c>
      <c r="F5">
        <v>187.7</v>
      </c>
      <c r="G5">
        <v>299</v>
      </c>
      <c r="H5">
        <v>363.8</v>
      </c>
      <c r="I5">
        <v>135.1</v>
      </c>
      <c r="J5">
        <v>167.4</v>
      </c>
      <c r="K5">
        <v>67.900000000000006</v>
      </c>
      <c r="L5">
        <v>58.3</v>
      </c>
      <c r="M5">
        <v>58.4</v>
      </c>
      <c r="N5" s="11">
        <f t="shared" si="0"/>
        <v>373.9</v>
      </c>
      <c r="O5" s="11">
        <f t="shared" si="1"/>
        <v>797.9</v>
      </c>
      <c r="P5" s="11">
        <f t="shared" si="2"/>
        <v>293.60000000000002</v>
      </c>
      <c r="Q5" s="11">
        <f t="shared" si="3"/>
        <v>83.899999999999991</v>
      </c>
    </row>
    <row r="6" spans="1:17" x14ac:dyDescent="0.25">
      <c r="A6">
        <v>1905</v>
      </c>
      <c r="B6">
        <v>13.9</v>
      </c>
      <c r="C6">
        <v>11.6</v>
      </c>
      <c r="D6">
        <v>155.19999999999999</v>
      </c>
      <c r="E6">
        <v>99.6</v>
      </c>
      <c r="F6">
        <v>151.69999999999999</v>
      </c>
      <c r="G6">
        <v>273.2</v>
      </c>
      <c r="H6">
        <v>146.80000000000001</v>
      </c>
      <c r="I6">
        <v>284</v>
      </c>
      <c r="J6">
        <v>127</v>
      </c>
      <c r="K6">
        <v>151.4</v>
      </c>
      <c r="L6">
        <v>28.7</v>
      </c>
      <c r="M6">
        <v>44.9</v>
      </c>
      <c r="N6" s="11">
        <f t="shared" si="0"/>
        <v>406.5</v>
      </c>
      <c r="O6" s="11">
        <f t="shared" si="1"/>
        <v>704</v>
      </c>
      <c r="P6" s="11">
        <f t="shared" si="2"/>
        <v>307.09999999999997</v>
      </c>
      <c r="Q6" s="11">
        <f t="shared" si="3"/>
        <v>144</v>
      </c>
    </row>
    <row r="7" spans="1:17" x14ac:dyDescent="0.25">
      <c r="A7">
        <v>1906</v>
      </c>
      <c r="B7">
        <v>39.799999999999997</v>
      </c>
      <c r="C7">
        <v>59.3</v>
      </c>
      <c r="D7">
        <v>203</v>
      </c>
      <c r="E7">
        <v>150</v>
      </c>
      <c r="F7">
        <v>184.6</v>
      </c>
      <c r="G7">
        <v>144.80000000000001</v>
      </c>
      <c r="H7">
        <v>157.4</v>
      </c>
      <c r="I7">
        <v>97.2</v>
      </c>
      <c r="J7">
        <v>81.5</v>
      </c>
      <c r="K7">
        <v>26.7</v>
      </c>
      <c r="L7">
        <v>6.6999969999999998</v>
      </c>
      <c r="M7">
        <v>26.4</v>
      </c>
      <c r="N7" s="11">
        <f t="shared" si="0"/>
        <v>537.6</v>
      </c>
      <c r="O7" s="11">
        <f t="shared" si="1"/>
        <v>399.40000000000003</v>
      </c>
      <c r="P7" s="11">
        <f t="shared" si="2"/>
        <v>114.899997</v>
      </c>
      <c r="Q7" s="11">
        <f t="shared" si="3"/>
        <v>91.8</v>
      </c>
    </row>
    <row r="8" spans="1:17" x14ac:dyDescent="0.25">
      <c r="A8">
        <v>1907</v>
      </c>
      <c r="B8">
        <v>21.6</v>
      </c>
      <c r="C8">
        <v>43.8</v>
      </c>
      <c r="D8">
        <v>113.5</v>
      </c>
      <c r="E8">
        <v>100</v>
      </c>
      <c r="F8">
        <v>120.8</v>
      </c>
      <c r="G8">
        <v>374.3</v>
      </c>
      <c r="H8">
        <v>152.1</v>
      </c>
      <c r="I8">
        <v>118.5</v>
      </c>
      <c r="J8">
        <v>141.80000000000001</v>
      </c>
      <c r="K8">
        <v>70</v>
      </c>
      <c r="L8">
        <v>37</v>
      </c>
      <c r="M8">
        <v>84.7</v>
      </c>
      <c r="N8" s="11">
        <f t="shared" si="0"/>
        <v>334.3</v>
      </c>
      <c r="O8" s="11">
        <f t="shared" si="1"/>
        <v>644.9</v>
      </c>
      <c r="P8" s="11">
        <f t="shared" si="2"/>
        <v>248.8</v>
      </c>
      <c r="Q8" s="11">
        <f t="shared" si="3"/>
        <v>122.79999699999999</v>
      </c>
    </row>
    <row r="9" spans="1:17" x14ac:dyDescent="0.25">
      <c r="A9">
        <v>1908</v>
      </c>
      <c r="B9">
        <v>5.6999969999999998</v>
      </c>
      <c r="C9">
        <v>32.4</v>
      </c>
      <c r="D9">
        <v>55.4</v>
      </c>
      <c r="E9">
        <v>132.69999999999999</v>
      </c>
      <c r="F9">
        <v>97.9</v>
      </c>
      <c r="G9">
        <v>143.19999999999999</v>
      </c>
      <c r="H9">
        <v>68.8</v>
      </c>
      <c r="I9">
        <v>120.2</v>
      </c>
      <c r="J9">
        <v>68.7</v>
      </c>
      <c r="K9">
        <v>70</v>
      </c>
      <c r="L9">
        <v>48</v>
      </c>
      <c r="M9">
        <v>43.5</v>
      </c>
      <c r="N9" s="11">
        <f t="shared" si="0"/>
        <v>286</v>
      </c>
      <c r="O9" s="11">
        <f t="shared" si="1"/>
        <v>332.2</v>
      </c>
      <c r="P9" s="11">
        <f t="shared" si="2"/>
        <v>186.7</v>
      </c>
      <c r="Q9" s="11">
        <f t="shared" si="3"/>
        <v>87</v>
      </c>
    </row>
    <row r="10" spans="1:17" x14ac:dyDescent="0.25">
      <c r="A10">
        <v>1909</v>
      </c>
      <c r="B10">
        <v>18.8</v>
      </c>
      <c r="C10">
        <v>24.7</v>
      </c>
      <c r="D10">
        <v>23.8</v>
      </c>
      <c r="E10">
        <v>74.400000000000006</v>
      </c>
      <c r="F10">
        <v>85.000010000000003</v>
      </c>
      <c r="G10">
        <v>146.4</v>
      </c>
      <c r="H10">
        <v>111.1</v>
      </c>
      <c r="I10">
        <v>292.39999999999998</v>
      </c>
      <c r="J10">
        <v>27.3</v>
      </c>
      <c r="K10">
        <v>74.3</v>
      </c>
      <c r="L10">
        <v>32.799999999999997</v>
      </c>
      <c r="M10">
        <v>51.1</v>
      </c>
      <c r="N10" s="11">
        <f t="shared" si="0"/>
        <v>183.20001000000002</v>
      </c>
      <c r="O10" s="11">
        <f t="shared" si="1"/>
        <v>549.9</v>
      </c>
      <c r="P10" s="11">
        <f t="shared" si="2"/>
        <v>134.39999999999998</v>
      </c>
      <c r="Q10" s="11">
        <f t="shared" si="3"/>
        <v>180.3</v>
      </c>
    </row>
    <row r="11" spans="1:17" x14ac:dyDescent="0.25">
      <c r="A11">
        <v>1910</v>
      </c>
      <c r="B11">
        <v>52.6</v>
      </c>
      <c r="C11">
        <v>76.599999999999994</v>
      </c>
      <c r="D11">
        <v>21.7</v>
      </c>
      <c r="E11">
        <v>85.8</v>
      </c>
      <c r="F11">
        <v>97.700010000000006</v>
      </c>
      <c r="G11">
        <v>480.1</v>
      </c>
      <c r="H11">
        <v>180.4</v>
      </c>
      <c r="I11">
        <v>266</v>
      </c>
      <c r="J11">
        <v>29.8</v>
      </c>
      <c r="K11">
        <v>18.3</v>
      </c>
      <c r="L11">
        <v>53.3</v>
      </c>
      <c r="M11">
        <v>16.600000000000001</v>
      </c>
      <c r="N11" s="11">
        <f t="shared" si="0"/>
        <v>205.20001000000002</v>
      </c>
      <c r="O11" s="11">
        <f t="shared" si="1"/>
        <v>926.5</v>
      </c>
      <c r="P11" s="11">
        <f t="shared" si="2"/>
        <v>101.4</v>
      </c>
      <c r="Q11" s="11">
        <f t="shared" si="3"/>
        <v>100.10000000000001</v>
      </c>
    </row>
    <row r="12" spans="1:17" x14ac:dyDescent="0.25">
      <c r="A12">
        <v>1911</v>
      </c>
      <c r="B12">
        <v>50.3</v>
      </c>
      <c r="C12">
        <v>33.200000000000003</v>
      </c>
      <c r="D12">
        <v>34.1</v>
      </c>
      <c r="E12">
        <v>213</v>
      </c>
      <c r="F12">
        <v>207</v>
      </c>
      <c r="G12">
        <v>66.899990000000003</v>
      </c>
      <c r="H12">
        <v>109.4</v>
      </c>
      <c r="I12">
        <v>136</v>
      </c>
      <c r="J12">
        <v>92</v>
      </c>
      <c r="K12">
        <v>17.2</v>
      </c>
      <c r="L12">
        <v>79</v>
      </c>
      <c r="M12">
        <v>56.3</v>
      </c>
      <c r="N12" s="11">
        <f t="shared" si="0"/>
        <v>454.1</v>
      </c>
      <c r="O12" s="11">
        <f t="shared" si="1"/>
        <v>312.29998999999998</v>
      </c>
      <c r="P12" s="11">
        <f t="shared" si="2"/>
        <v>188.2</v>
      </c>
      <c r="Q12" s="11">
        <f t="shared" si="3"/>
        <v>171.39999999999998</v>
      </c>
    </row>
    <row r="13" spans="1:17" x14ac:dyDescent="0.25">
      <c r="A13">
        <v>1912</v>
      </c>
      <c r="B13">
        <v>20.8</v>
      </c>
      <c r="C13">
        <v>94.3</v>
      </c>
      <c r="D13">
        <v>78.099999999999994</v>
      </c>
      <c r="E13">
        <v>169.7</v>
      </c>
      <c r="F13">
        <v>171.9</v>
      </c>
      <c r="G13">
        <v>238.3</v>
      </c>
      <c r="H13">
        <v>100.2</v>
      </c>
      <c r="I13">
        <v>150.4</v>
      </c>
      <c r="J13">
        <v>26.49999</v>
      </c>
      <c r="K13">
        <v>62.5</v>
      </c>
      <c r="L13">
        <v>80.400000000000006</v>
      </c>
      <c r="M13">
        <v>58.4</v>
      </c>
      <c r="N13" s="11">
        <f t="shared" si="0"/>
        <v>419.7</v>
      </c>
      <c r="O13" s="11">
        <f t="shared" si="1"/>
        <v>488.9</v>
      </c>
      <c r="P13" s="11">
        <f t="shared" si="2"/>
        <v>169.39999</v>
      </c>
      <c r="Q13" s="11">
        <f t="shared" si="3"/>
        <v>108.10000099999999</v>
      </c>
    </row>
    <row r="14" spans="1:17" x14ac:dyDescent="0.25">
      <c r="A14">
        <v>1913</v>
      </c>
      <c r="B14">
        <v>4.7000010000000003</v>
      </c>
      <c r="C14">
        <v>45</v>
      </c>
      <c r="D14">
        <v>104.9</v>
      </c>
      <c r="E14">
        <v>279.39999999999998</v>
      </c>
      <c r="F14">
        <v>276.8</v>
      </c>
      <c r="G14">
        <v>165.7</v>
      </c>
      <c r="H14">
        <v>339.1</v>
      </c>
      <c r="I14">
        <v>158.9</v>
      </c>
      <c r="J14">
        <v>129.69999999999999</v>
      </c>
      <c r="K14">
        <v>43.100009999999997</v>
      </c>
      <c r="L14">
        <v>10</v>
      </c>
      <c r="M14">
        <v>40.700000000000003</v>
      </c>
      <c r="N14" s="11">
        <f t="shared" si="0"/>
        <v>661.09999999999991</v>
      </c>
      <c r="O14" s="11">
        <f t="shared" si="1"/>
        <v>663.7</v>
      </c>
      <c r="P14" s="11">
        <f t="shared" si="2"/>
        <v>182.80000999999999</v>
      </c>
      <c r="Q14" s="11">
        <f t="shared" si="3"/>
        <v>129.1</v>
      </c>
    </row>
    <row r="15" spans="1:17" x14ac:dyDescent="0.25">
      <c r="A15">
        <v>1914</v>
      </c>
      <c r="B15">
        <v>76.8</v>
      </c>
      <c r="C15">
        <v>11.6</v>
      </c>
      <c r="D15">
        <v>67.8</v>
      </c>
      <c r="E15">
        <v>59.4</v>
      </c>
      <c r="F15">
        <v>199.1</v>
      </c>
      <c r="G15">
        <v>431</v>
      </c>
      <c r="H15">
        <v>213</v>
      </c>
      <c r="I15">
        <v>146.4</v>
      </c>
      <c r="J15">
        <v>156.69999999999999</v>
      </c>
      <c r="K15">
        <v>35.200000000000003</v>
      </c>
      <c r="L15">
        <v>147.9</v>
      </c>
      <c r="M15">
        <v>46.4</v>
      </c>
      <c r="N15" s="11">
        <f t="shared" si="0"/>
        <v>326.29999999999995</v>
      </c>
      <c r="O15" s="11">
        <f t="shared" si="1"/>
        <v>790.4</v>
      </c>
      <c r="P15" s="11">
        <f t="shared" si="2"/>
        <v>339.79999999999995</v>
      </c>
      <c r="Q15" s="11">
        <f t="shared" si="3"/>
        <v>129.5</v>
      </c>
    </row>
    <row r="16" spans="1:17" x14ac:dyDescent="0.25">
      <c r="A16">
        <v>1915</v>
      </c>
      <c r="B16">
        <v>17.7</v>
      </c>
      <c r="C16">
        <v>65.400000000000006</v>
      </c>
      <c r="D16">
        <v>98.7</v>
      </c>
      <c r="E16">
        <v>269.7</v>
      </c>
      <c r="F16">
        <v>393.5</v>
      </c>
      <c r="G16">
        <v>280.2</v>
      </c>
      <c r="H16">
        <v>387.7</v>
      </c>
      <c r="I16">
        <v>197.7</v>
      </c>
      <c r="J16">
        <v>95.4</v>
      </c>
      <c r="K16">
        <v>73.400000000000006</v>
      </c>
      <c r="L16">
        <v>62.4</v>
      </c>
      <c r="M16">
        <v>53.2</v>
      </c>
      <c r="N16" s="11">
        <f t="shared" si="0"/>
        <v>761.9</v>
      </c>
      <c r="O16" s="11">
        <f t="shared" si="1"/>
        <v>865.59999999999991</v>
      </c>
      <c r="P16" s="11">
        <f t="shared" si="2"/>
        <v>231.20000000000002</v>
      </c>
      <c r="Q16" s="11">
        <f t="shared" si="3"/>
        <v>124.4</v>
      </c>
    </row>
    <row r="17" spans="1:17" x14ac:dyDescent="0.25">
      <c r="A17">
        <v>1916</v>
      </c>
      <c r="B17">
        <v>44.2</v>
      </c>
      <c r="C17">
        <v>27</v>
      </c>
      <c r="D17">
        <v>206.1</v>
      </c>
      <c r="E17">
        <v>110.9</v>
      </c>
      <c r="F17">
        <v>224.8</v>
      </c>
      <c r="G17">
        <v>93.799989999999994</v>
      </c>
      <c r="H17">
        <v>136.5</v>
      </c>
      <c r="I17">
        <v>173.5</v>
      </c>
      <c r="J17">
        <v>122.1</v>
      </c>
      <c r="K17">
        <v>22.4</v>
      </c>
      <c r="L17">
        <v>99.499989999999997</v>
      </c>
      <c r="M17">
        <v>109.5</v>
      </c>
      <c r="N17" s="11">
        <f t="shared" si="0"/>
        <v>541.79999999999995</v>
      </c>
      <c r="O17" s="11">
        <f t="shared" si="1"/>
        <v>403.79998999999998</v>
      </c>
      <c r="P17" s="11">
        <f t="shared" si="2"/>
        <v>243.99999</v>
      </c>
      <c r="Q17" s="11">
        <f t="shared" si="3"/>
        <v>233.60001</v>
      </c>
    </row>
    <row r="18" spans="1:17" x14ac:dyDescent="0.25">
      <c r="A18">
        <v>1917</v>
      </c>
      <c r="B18">
        <v>57.100009999999997</v>
      </c>
      <c r="C18">
        <v>67</v>
      </c>
      <c r="D18">
        <v>82.9</v>
      </c>
      <c r="E18">
        <v>48.3</v>
      </c>
      <c r="F18">
        <v>57.100009999999997</v>
      </c>
      <c r="G18">
        <v>356.8</v>
      </c>
      <c r="H18">
        <v>113.5</v>
      </c>
      <c r="I18">
        <v>144.6</v>
      </c>
      <c r="J18">
        <v>153.19999999999999</v>
      </c>
      <c r="K18">
        <v>38.200000000000003</v>
      </c>
      <c r="L18">
        <v>38.799999999999997</v>
      </c>
      <c r="M18">
        <v>69.599999999999994</v>
      </c>
      <c r="N18" s="11">
        <f t="shared" si="0"/>
        <v>188.30000999999999</v>
      </c>
      <c r="O18" s="11">
        <f t="shared" si="1"/>
        <v>614.9</v>
      </c>
      <c r="P18" s="11">
        <f t="shared" si="2"/>
        <v>230.2</v>
      </c>
      <c r="Q18" s="11">
        <f t="shared" si="3"/>
        <v>143.4</v>
      </c>
    </row>
    <row r="19" spans="1:17" x14ac:dyDescent="0.25">
      <c r="A19">
        <v>1918</v>
      </c>
      <c r="B19">
        <v>63.5</v>
      </c>
      <c r="C19">
        <v>10.3</v>
      </c>
      <c r="D19">
        <v>212.2</v>
      </c>
      <c r="E19">
        <v>181.4</v>
      </c>
      <c r="F19">
        <v>374.9</v>
      </c>
      <c r="G19">
        <v>206.3</v>
      </c>
      <c r="H19">
        <v>194.3</v>
      </c>
      <c r="I19">
        <v>175.7</v>
      </c>
      <c r="J19">
        <v>109</v>
      </c>
      <c r="K19">
        <v>62.7</v>
      </c>
      <c r="L19">
        <v>139.69999999999999</v>
      </c>
      <c r="M19">
        <v>82.6</v>
      </c>
      <c r="N19" s="11">
        <f t="shared" si="0"/>
        <v>768.5</v>
      </c>
      <c r="O19" s="11">
        <f t="shared" si="1"/>
        <v>576.29999999999995</v>
      </c>
      <c r="P19" s="11">
        <f t="shared" si="2"/>
        <v>311.39999999999998</v>
      </c>
      <c r="Q19" s="11">
        <f t="shared" si="3"/>
        <v>183.2</v>
      </c>
    </row>
    <row r="20" spans="1:17" x14ac:dyDescent="0.25">
      <c r="A20">
        <v>1919</v>
      </c>
      <c r="B20">
        <v>25.8</v>
      </c>
      <c r="C20">
        <v>74.8</v>
      </c>
      <c r="D20">
        <v>197.1</v>
      </c>
      <c r="E20">
        <v>164.5</v>
      </c>
      <c r="F20">
        <v>374.1</v>
      </c>
      <c r="G20">
        <v>197.5</v>
      </c>
      <c r="H20">
        <v>208.2</v>
      </c>
      <c r="I20">
        <v>145.19999999999999</v>
      </c>
      <c r="J20">
        <v>98.6</v>
      </c>
      <c r="K20">
        <v>39.4</v>
      </c>
      <c r="L20">
        <v>120.5</v>
      </c>
      <c r="M20">
        <v>58.9</v>
      </c>
      <c r="N20" s="11">
        <f t="shared" si="0"/>
        <v>735.7</v>
      </c>
      <c r="O20" s="11">
        <f t="shared" si="1"/>
        <v>550.9</v>
      </c>
      <c r="P20" s="11">
        <f t="shared" si="2"/>
        <v>258.5</v>
      </c>
      <c r="Q20" s="11">
        <f t="shared" si="3"/>
        <v>91.2</v>
      </c>
    </row>
    <row r="21" spans="1:17" x14ac:dyDescent="0.25">
      <c r="A21">
        <v>1920</v>
      </c>
      <c r="B21">
        <v>21.4</v>
      </c>
      <c r="C21">
        <v>10.9</v>
      </c>
      <c r="D21">
        <v>231.8</v>
      </c>
      <c r="E21">
        <v>152.19999999999999</v>
      </c>
      <c r="F21">
        <v>412.8</v>
      </c>
      <c r="G21">
        <v>219.9</v>
      </c>
      <c r="H21">
        <v>139.30000000000001</v>
      </c>
      <c r="I21">
        <v>153.19999999999999</v>
      </c>
      <c r="J21">
        <v>130.69999999999999</v>
      </c>
      <c r="K21">
        <v>88.1</v>
      </c>
      <c r="L21">
        <v>130.4</v>
      </c>
      <c r="M21">
        <v>69.400000000000006</v>
      </c>
      <c r="N21" s="11">
        <f t="shared" si="0"/>
        <v>796.8</v>
      </c>
      <c r="O21" s="11">
        <f t="shared" si="1"/>
        <v>512.40000000000009</v>
      </c>
      <c r="P21" s="11">
        <f t="shared" si="2"/>
        <v>349.2</v>
      </c>
      <c r="Q21" s="11">
        <f t="shared" si="3"/>
        <v>219.39999999999998</v>
      </c>
    </row>
    <row r="22" spans="1:17" x14ac:dyDescent="0.25">
      <c r="A22">
        <v>1921</v>
      </c>
      <c r="B22">
        <v>77.3</v>
      </c>
      <c r="C22">
        <v>72.7</v>
      </c>
      <c r="D22">
        <v>67.5</v>
      </c>
      <c r="E22">
        <v>260.2</v>
      </c>
      <c r="F22">
        <v>282</v>
      </c>
      <c r="G22">
        <v>259.89999999999998</v>
      </c>
      <c r="H22">
        <v>75.7</v>
      </c>
      <c r="I22">
        <v>368.6</v>
      </c>
      <c r="J22">
        <v>83.099990000000005</v>
      </c>
      <c r="K22">
        <v>60</v>
      </c>
      <c r="L22">
        <v>9.8000030000000002</v>
      </c>
      <c r="M22">
        <v>202.1</v>
      </c>
      <c r="N22" s="11">
        <f t="shared" si="0"/>
        <v>609.70000000000005</v>
      </c>
      <c r="O22" s="11">
        <f t="shared" si="1"/>
        <v>704.2</v>
      </c>
      <c r="P22" s="11">
        <f t="shared" si="2"/>
        <v>152.89999299999999</v>
      </c>
      <c r="Q22" s="11">
        <f t="shared" si="3"/>
        <v>269.29999999999995</v>
      </c>
    </row>
    <row r="23" spans="1:17" x14ac:dyDescent="0.25">
      <c r="A23">
        <v>1922</v>
      </c>
      <c r="B23">
        <v>42.8</v>
      </c>
      <c r="C23">
        <v>24.4</v>
      </c>
      <c r="D23">
        <v>227.4</v>
      </c>
      <c r="E23">
        <v>40.9</v>
      </c>
      <c r="F23">
        <v>94.100009999999997</v>
      </c>
      <c r="G23">
        <v>305.8</v>
      </c>
      <c r="H23">
        <v>524.6</v>
      </c>
      <c r="I23">
        <v>237</v>
      </c>
      <c r="J23">
        <v>73.3</v>
      </c>
      <c r="K23">
        <v>50.3</v>
      </c>
      <c r="L23">
        <v>28</v>
      </c>
      <c r="M23">
        <v>63.2</v>
      </c>
      <c r="N23" s="11">
        <f t="shared" si="0"/>
        <v>362.40001000000001</v>
      </c>
      <c r="O23" s="11">
        <f t="shared" si="1"/>
        <v>1067.4000000000001</v>
      </c>
      <c r="P23" s="11">
        <f t="shared" si="2"/>
        <v>151.6</v>
      </c>
      <c r="Q23" s="11">
        <f t="shared" si="3"/>
        <v>180.60000000000002</v>
      </c>
    </row>
    <row r="24" spans="1:17" x14ac:dyDescent="0.25">
      <c r="A24">
        <v>1923</v>
      </c>
      <c r="B24">
        <v>44.7</v>
      </c>
      <c r="C24">
        <v>72.7</v>
      </c>
      <c r="D24">
        <v>287.60000000000002</v>
      </c>
      <c r="E24">
        <v>75.900009999999995</v>
      </c>
      <c r="F24">
        <v>96.000020000000006</v>
      </c>
      <c r="G24">
        <v>164.1</v>
      </c>
      <c r="H24">
        <v>134.69999999999999</v>
      </c>
      <c r="I24">
        <v>162.19999999999999</v>
      </c>
      <c r="J24">
        <v>181.1</v>
      </c>
      <c r="K24">
        <v>95.599990000000005</v>
      </c>
      <c r="L24">
        <v>68.8</v>
      </c>
      <c r="M24">
        <v>74.599999999999994</v>
      </c>
      <c r="N24" s="11">
        <f t="shared" si="0"/>
        <v>459.50003000000004</v>
      </c>
      <c r="O24" s="11">
        <f t="shared" si="1"/>
        <v>460.99999999999994</v>
      </c>
      <c r="P24" s="11">
        <f t="shared" si="2"/>
        <v>345.49999000000003</v>
      </c>
      <c r="Q24" s="11">
        <f t="shared" si="3"/>
        <v>222.19999799999999</v>
      </c>
    </row>
    <row r="25" spans="1:17" x14ac:dyDescent="0.25">
      <c r="A25">
        <v>1924</v>
      </c>
      <c r="B25">
        <v>3.5999979999999998</v>
      </c>
      <c r="C25">
        <v>144</v>
      </c>
      <c r="D25">
        <v>229.8</v>
      </c>
      <c r="E25">
        <v>142.30000000000001</v>
      </c>
      <c r="F25">
        <v>103.2</v>
      </c>
      <c r="G25">
        <v>442.7</v>
      </c>
      <c r="H25">
        <v>267.89999999999998</v>
      </c>
      <c r="I25">
        <v>66.200010000000006</v>
      </c>
      <c r="J25">
        <v>63.2</v>
      </c>
      <c r="K25">
        <v>40</v>
      </c>
      <c r="L25">
        <v>46.4</v>
      </c>
      <c r="M25">
        <v>43</v>
      </c>
      <c r="N25" s="11">
        <f t="shared" si="0"/>
        <v>475.3</v>
      </c>
      <c r="O25" s="11">
        <f t="shared" si="1"/>
        <v>776.80000999999993</v>
      </c>
      <c r="P25" s="11">
        <f t="shared" si="2"/>
        <v>149.6</v>
      </c>
      <c r="Q25" s="11">
        <f t="shared" si="3"/>
        <v>155.5</v>
      </c>
    </row>
    <row r="26" spans="1:17" x14ac:dyDescent="0.25">
      <c r="A26">
        <v>1925</v>
      </c>
      <c r="B26">
        <v>40.5</v>
      </c>
      <c r="C26">
        <v>72</v>
      </c>
      <c r="D26">
        <v>62.9</v>
      </c>
      <c r="E26">
        <v>175.9</v>
      </c>
      <c r="F26">
        <v>102.6</v>
      </c>
      <c r="G26">
        <v>304.3</v>
      </c>
      <c r="H26">
        <v>130.80000000000001</v>
      </c>
      <c r="I26">
        <v>279.3</v>
      </c>
      <c r="J26">
        <v>131.4</v>
      </c>
      <c r="K26">
        <v>22.6</v>
      </c>
      <c r="L26">
        <v>113.9</v>
      </c>
      <c r="M26">
        <v>67.7</v>
      </c>
      <c r="N26" s="11">
        <f t="shared" si="0"/>
        <v>341.4</v>
      </c>
      <c r="O26" s="11">
        <f t="shared" si="1"/>
        <v>714.40000000000009</v>
      </c>
      <c r="P26" s="11">
        <f t="shared" si="2"/>
        <v>267.89999999999998</v>
      </c>
      <c r="Q26" s="11">
        <f t="shared" si="3"/>
        <v>182.20000999999999</v>
      </c>
    </row>
    <row r="27" spans="1:17" x14ac:dyDescent="0.25">
      <c r="A27">
        <v>1926</v>
      </c>
      <c r="B27">
        <v>61.100009999999997</v>
      </c>
      <c r="C27">
        <v>53.4</v>
      </c>
      <c r="D27">
        <v>235.9</v>
      </c>
      <c r="E27">
        <v>110.9</v>
      </c>
      <c r="F27">
        <v>93.400009999999995</v>
      </c>
      <c r="G27">
        <v>250.6</v>
      </c>
      <c r="H27">
        <v>157.6</v>
      </c>
      <c r="I27">
        <v>122.4</v>
      </c>
      <c r="J27">
        <v>71.7</v>
      </c>
      <c r="K27">
        <v>44.5</v>
      </c>
      <c r="L27">
        <v>195.9</v>
      </c>
      <c r="M27">
        <v>81.7</v>
      </c>
      <c r="N27" s="11">
        <f t="shared" si="0"/>
        <v>440.20001000000002</v>
      </c>
      <c r="O27" s="11">
        <f t="shared" si="1"/>
        <v>530.6</v>
      </c>
      <c r="P27" s="11">
        <f t="shared" si="2"/>
        <v>312.10000000000002</v>
      </c>
      <c r="Q27" s="11">
        <f t="shared" si="3"/>
        <v>203.90001000000001</v>
      </c>
    </row>
    <row r="28" spans="1:17" x14ac:dyDescent="0.25">
      <c r="A28">
        <v>1927</v>
      </c>
      <c r="B28">
        <v>33.799999999999997</v>
      </c>
      <c r="C28">
        <v>88.400009999999995</v>
      </c>
      <c r="D28">
        <v>84.599990000000005</v>
      </c>
      <c r="E28">
        <v>176.7</v>
      </c>
      <c r="F28">
        <v>137.30000000000001</v>
      </c>
      <c r="G28">
        <v>144.9</v>
      </c>
      <c r="H28">
        <v>175.5</v>
      </c>
      <c r="I28">
        <v>178.5</v>
      </c>
      <c r="J28">
        <v>183.8</v>
      </c>
      <c r="K28">
        <v>24.9</v>
      </c>
      <c r="L28">
        <v>35.9</v>
      </c>
      <c r="M28">
        <v>41.5</v>
      </c>
      <c r="N28" s="11">
        <f t="shared" si="0"/>
        <v>398.59998999999999</v>
      </c>
      <c r="O28" s="11">
        <f t="shared" si="1"/>
        <v>498.9</v>
      </c>
      <c r="P28" s="11">
        <f t="shared" si="2"/>
        <v>244.60000000000002</v>
      </c>
      <c r="Q28" s="11">
        <f t="shared" si="3"/>
        <v>170.9</v>
      </c>
    </row>
    <row r="29" spans="1:17" x14ac:dyDescent="0.25">
      <c r="A29">
        <v>1928</v>
      </c>
      <c r="B29">
        <v>59.2</v>
      </c>
      <c r="C29">
        <v>70.2</v>
      </c>
      <c r="D29">
        <v>125.2</v>
      </c>
      <c r="E29">
        <v>160.80000000000001</v>
      </c>
      <c r="F29">
        <v>91.30001</v>
      </c>
      <c r="G29">
        <v>200.3</v>
      </c>
      <c r="H29">
        <v>282.8</v>
      </c>
      <c r="I29">
        <v>129.19999999999999</v>
      </c>
      <c r="J29">
        <v>43.4</v>
      </c>
      <c r="K29">
        <v>49.1</v>
      </c>
      <c r="L29">
        <v>85</v>
      </c>
      <c r="M29">
        <v>183.5</v>
      </c>
      <c r="N29" s="11">
        <f t="shared" si="0"/>
        <v>377.30000999999999</v>
      </c>
      <c r="O29" s="11">
        <f t="shared" si="1"/>
        <v>612.29999999999995</v>
      </c>
      <c r="P29" s="11">
        <f t="shared" si="2"/>
        <v>177.5</v>
      </c>
      <c r="Q29" s="11">
        <f t="shared" si="3"/>
        <v>353.3</v>
      </c>
    </row>
    <row r="30" spans="1:17" x14ac:dyDescent="0.25">
      <c r="A30">
        <v>1929</v>
      </c>
      <c r="B30">
        <v>49</v>
      </c>
      <c r="C30">
        <v>120.8</v>
      </c>
      <c r="D30">
        <v>73.5</v>
      </c>
      <c r="E30">
        <v>115.5</v>
      </c>
      <c r="F30">
        <v>48.500019999999999</v>
      </c>
      <c r="G30">
        <v>272.3</v>
      </c>
      <c r="H30">
        <v>182</v>
      </c>
      <c r="I30">
        <v>169.4</v>
      </c>
      <c r="J30">
        <v>115</v>
      </c>
      <c r="K30">
        <v>62.2</v>
      </c>
      <c r="L30">
        <v>49.4</v>
      </c>
      <c r="M30">
        <v>148.6</v>
      </c>
      <c r="N30" s="11">
        <f t="shared" si="0"/>
        <v>237.50002000000001</v>
      </c>
      <c r="O30" s="11">
        <f t="shared" si="1"/>
        <v>623.70000000000005</v>
      </c>
      <c r="P30" s="11">
        <f t="shared" si="2"/>
        <v>226.6</v>
      </c>
      <c r="Q30" s="11">
        <f t="shared" si="3"/>
        <v>197.1</v>
      </c>
    </row>
    <row r="31" spans="1:17" x14ac:dyDescent="0.25">
      <c r="A31">
        <v>1930</v>
      </c>
      <c r="B31">
        <v>11.1</v>
      </c>
      <c r="C31">
        <v>37.4</v>
      </c>
      <c r="D31">
        <v>70.2</v>
      </c>
      <c r="E31">
        <v>216</v>
      </c>
      <c r="F31">
        <v>172.1</v>
      </c>
      <c r="G31">
        <v>532.20000000000005</v>
      </c>
      <c r="H31">
        <v>232.2</v>
      </c>
      <c r="I31">
        <v>101.9</v>
      </c>
      <c r="J31">
        <v>73.7</v>
      </c>
      <c r="K31">
        <v>40.799999999999997</v>
      </c>
      <c r="L31">
        <v>117.7</v>
      </c>
      <c r="M31">
        <v>107.2</v>
      </c>
      <c r="N31" s="11">
        <f t="shared" si="0"/>
        <v>458.29999999999995</v>
      </c>
      <c r="O31" s="11">
        <f t="shared" si="1"/>
        <v>866.30000000000007</v>
      </c>
      <c r="P31" s="11">
        <f t="shared" si="2"/>
        <v>232.2</v>
      </c>
      <c r="Q31" s="11">
        <f t="shared" si="3"/>
        <v>226</v>
      </c>
    </row>
    <row r="32" spans="1:17" x14ac:dyDescent="0.25">
      <c r="A32">
        <v>1931</v>
      </c>
      <c r="B32">
        <v>89.8</v>
      </c>
      <c r="C32">
        <v>29</v>
      </c>
      <c r="D32">
        <v>45.2</v>
      </c>
      <c r="E32">
        <v>112.4</v>
      </c>
      <c r="F32">
        <v>98.30001</v>
      </c>
      <c r="G32">
        <v>213.6</v>
      </c>
      <c r="H32">
        <v>141.69999999999999</v>
      </c>
      <c r="I32">
        <v>163.80000000000001</v>
      </c>
      <c r="J32">
        <v>55.8</v>
      </c>
      <c r="K32">
        <v>82.9</v>
      </c>
      <c r="L32">
        <v>48.4</v>
      </c>
      <c r="M32">
        <v>20.9</v>
      </c>
      <c r="N32" s="11">
        <f t="shared" si="0"/>
        <v>255.90001000000001</v>
      </c>
      <c r="O32" s="11">
        <f t="shared" si="1"/>
        <v>519.09999999999991</v>
      </c>
      <c r="P32" s="11">
        <f t="shared" si="2"/>
        <v>187.1</v>
      </c>
      <c r="Q32" s="11">
        <f t="shared" si="3"/>
        <v>75.599999999999994</v>
      </c>
    </row>
    <row r="33" spans="1:17" x14ac:dyDescent="0.25">
      <c r="A33">
        <v>1932</v>
      </c>
      <c r="B33">
        <v>12</v>
      </c>
      <c r="C33">
        <v>42.7</v>
      </c>
      <c r="D33">
        <v>142.69999999999999</v>
      </c>
      <c r="E33">
        <v>288.39999999999998</v>
      </c>
      <c r="F33">
        <v>88.200010000000006</v>
      </c>
      <c r="G33">
        <v>420.8</v>
      </c>
      <c r="H33">
        <v>361.6</v>
      </c>
      <c r="I33">
        <v>253.6</v>
      </c>
      <c r="J33">
        <v>104.5</v>
      </c>
      <c r="K33">
        <v>125.5</v>
      </c>
      <c r="L33">
        <v>31.6</v>
      </c>
      <c r="M33">
        <v>27.6</v>
      </c>
      <c r="N33" s="11">
        <f t="shared" si="0"/>
        <v>519.30000999999993</v>
      </c>
      <c r="O33" s="11">
        <f t="shared" si="1"/>
        <v>1036</v>
      </c>
      <c r="P33" s="11">
        <f t="shared" si="2"/>
        <v>261.60000000000002</v>
      </c>
      <c r="Q33" s="11">
        <f t="shared" si="3"/>
        <v>168.5</v>
      </c>
    </row>
    <row r="34" spans="1:17" x14ac:dyDescent="0.25">
      <c r="A34">
        <v>1933</v>
      </c>
      <c r="B34">
        <v>113.8</v>
      </c>
      <c r="C34">
        <v>27.1</v>
      </c>
      <c r="D34">
        <v>189</v>
      </c>
      <c r="E34">
        <v>96.700010000000006</v>
      </c>
      <c r="F34">
        <v>141.69999999999999</v>
      </c>
      <c r="G34">
        <v>295.10000000000002</v>
      </c>
      <c r="H34">
        <v>121</v>
      </c>
      <c r="I34">
        <v>185.9</v>
      </c>
      <c r="J34">
        <v>36.9</v>
      </c>
      <c r="K34">
        <v>49.5</v>
      </c>
      <c r="L34">
        <v>62.2</v>
      </c>
      <c r="M34">
        <v>97.2</v>
      </c>
      <c r="N34" s="11">
        <f t="shared" si="0"/>
        <v>427.40001000000001</v>
      </c>
      <c r="O34" s="11">
        <f t="shared" si="1"/>
        <v>602</v>
      </c>
      <c r="P34" s="11">
        <f t="shared" si="2"/>
        <v>148.60000000000002</v>
      </c>
      <c r="Q34" s="11">
        <f t="shared" si="3"/>
        <v>171.9</v>
      </c>
    </row>
    <row r="35" spans="1:17" x14ac:dyDescent="0.25">
      <c r="A35">
        <v>1934</v>
      </c>
      <c r="B35">
        <v>25.7</v>
      </c>
      <c r="C35">
        <v>49</v>
      </c>
      <c r="D35">
        <v>161.19999999999999</v>
      </c>
      <c r="E35">
        <v>84.200010000000006</v>
      </c>
      <c r="F35">
        <v>202.6</v>
      </c>
      <c r="G35">
        <v>288.39999999999998</v>
      </c>
      <c r="H35">
        <v>204.4</v>
      </c>
      <c r="I35">
        <v>98.700010000000006</v>
      </c>
      <c r="J35">
        <v>149.80000000000001</v>
      </c>
      <c r="K35">
        <v>75.5</v>
      </c>
      <c r="L35">
        <v>17.399999999999999</v>
      </c>
      <c r="M35">
        <v>30.9</v>
      </c>
      <c r="N35" s="11">
        <f t="shared" ref="N35:N98" si="4">IF(AND(ISNUMBER(D35),ISNUMBER(E35),ISNUMBER(F35)),SUM(D35:F35),"")</f>
        <v>448.00000999999997</v>
      </c>
      <c r="O35" s="11">
        <f t="shared" si="1"/>
        <v>591.50000999999997</v>
      </c>
      <c r="P35" s="11">
        <f t="shared" si="2"/>
        <v>242.70000000000002</v>
      </c>
      <c r="Q35" s="11">
        <f t="shared" si="3"/>
        <v>116.69999999999999</v>
      </c>
    </row>
    <row r="36" spans="1:17" x14ac:dyDescent="0.25">
      <c r="A36">
        <v>1935</v>
      </c>
      <c r="B36">
        <v>39.299999999999997</v>
      </c>
      <c r="C36">
        <v>46.5</v>
      </c>
      <c r="D36">
        <v>194.1</v>
      </c>
      <c r="E36">
        <v>67.5</v>
      </c>
      <c r="F36">
        <v>204.5</v>
      </c>
      <c r="G36">
        <v>362.8</v>
      </c>
      <c r="H36">
        <v>93.2</v>
      </c>
      <c r="I36">
        <v>81.600009999999997</v>
      </c>
      <c r="J36">
        <v>112.5</v>
      </c>
      <c r="K36">
        <v>98.2</v>
      </c>
      <c r="L36">
        <v>106.9</v>
      </c>
      <c r="M36">
        <v>70.8</v>
      </c>
      <c r="N36" s="11">
        <f t="shared" si="4"/>
        <v>466.1</v>
      </c>
      <c r="O36" s="11">
        <f t="shared" si="1"/>
        <v>537.60001</v>
      </c>
      <c r="P36" s="11">
        <f t="shared" si="2"/>
        <v>317.60000000000002</v>
      </c>
      <c r="Q36" s="11">
        <f t="shared" si="3"/>
        <v>138.9</v>
      </c>
    </row>
    <row r="37" spans="1:17" x14ac:dyDescent="0.25">
      <c r="A37">
        <v>1936</v>
      </c>
      <c r="B37">
        <v>48.2</v>
      </c>
      <c r="C37">
        <v>19.899999999999999</v>
      </c>
      <c r="D37">
        <v>80</v>
      </c>
      <c r="E37">
        <v>112.7</v>
      </c>
      <c r="F37">
        <v>202.9</v>
      </c>
      <c r="G37">
        <v>222.7</v>
      </c>
      <c r="H37">
        <v>175.9</v>
      </c>
      <c r="I37">
        <v>113.7</v>
      </c>
      <c r="J37">
        <v>95.2</v>
      </c>
      <c r="K37">
        <v>38.5</v>
      </c>
      <c r="L37">
        <v>39.700000000000003</v>
      </c>
      <c r="M37">
        <v>136.69999999999999</v>
      </c>
      <c r="N37" s="11">
        <f t="shared" si="4"/>
        <v>395.6</v>
      </c>
      <c r="O37" s="11">
        <f t="shared" si="1"/>
        <v>512.30000000000007</v>
      </c>
      <c r="P37" s="11">
        <f t="shared" si="2"/>
        <v>173.39999999999998</v>
      </c>
      <c r="Q37" s="11">
        <f t="shared" si="3"/>
        <v>349.1</v>
      </c>
    </row>
    <row r="38" spans="1:17" x14ac:dyDescent="0.25">
      <c r="A38">
        <v>1937</v>
      </c>
      <c r="B38">
        <v>73.8</v>
      </c>
      <c r="C38">
        <v>138.6</v>
      </c>
      <c r="D38">
        <v>110.8</v>
      </c>
      <c r="E38">
        <v>51.4</v>
      </c>
      <c r="F38">
        <v>151.6</v>
      </c>
      <c r="G38">
        <v>482.2</v>
      </c>
      <c r="H38">
        <v>209.4</v>
      </c>
      <c r="I38">
        <v>252.3</v>
      </c>
      <c r="J38">
        <v>32.4</v>
      </c>
      <c r="K38">
        <v>19.8</v>
      </c>
      <c r="L38">
        <v>69.7</v>
      </c>
      <c r="M38">
        <v>45.5</v>
      </c>
      <c r="N38" s="11">
        <f t="shared" si="4"/>
        <v>313.79999999999995</v>
      </c>
      <c r="O38" s="11">
        <f t="shared" si="1"/>
        <v>943.90000000000009</v>
      </c>
      <c r="P38" s="11">
        <f t="shared" si="2"/>
        <v>121.9</v>
      </c>
      <c r="Q38" s="11">
        <f t="shared" si="3"/>
        <v>85.499994999999998</v>
      </c>
    </row>
    <row r="39" spans="1:17" x14ac:dyDescent="0.25">
      <c r="A39">
        <v>1938</v>
      </c>
      <c r="B39">
        <v>34.700000000000003</v>
      </c>
      <c r="C39">
        <v>5.299995</v>
      </c>
      <c r="D39">
        <v>216.3</v>
      </c>
      <c r="E39">
        <v>40.200000000000003</v>
      </c>
      <c r="F39">
        <v>133.30000000000001</v>
      </c>
      <c r="G39">
        <v>347.7</v>
      </c>
      <c r="H39">
        <v>198.6</v>
      </c>
      <c r="I39">
        <v>140.1</v>
      </c>
      <c r="J39">
        <v>129.69999999999999</v>
      </c>
      <c r="K39">
        <v>106.3</v>
      </c>
      <c r="L39">
        <v>104.5</v>
      </c>
      <c r="M39">
        <v>37.200000000000003</v>
      </c>
      <c r="N39" s="11">
        <f t="shared" si="4"/>
        <v>389.8</v>
      </c>
      <c r="O39" s="11">
        <f t="shared" si="1"/>
        <v>686.4</v>
      </c>
      <c r="P39" s="11">
        <f t="shared" si="2"/>
        <v>340.5</v>
      </c>
      <c r="Q39" s="11">
        <f t="shared" si="3"/>
        <v>224.39999999999998</v>
      </c>
    </row>
    <row r="40" spans="1:17" x14ac:dyDescent="0.25">
      <c r="A40">
        <v>1939</v>
      </c>
      <c r="B40">
        <v>70.599999999999994</v>
      </c>
      <c r="C40">
        <v>116.6</v>
      </c>
      <c r="D40">
        <v>29.5</v>
      </c>
      <c r="E40">
        <v>44.5</v>
      </c>
      <c r="F40">
        <v>331.5</v>
      </c>
      <c r="G40">
        <v>382.5</v>
      </c>
      <c r="H40">
        <v>202.7</v>
      </c>
      <c r="I40">
        <v>247.2</v>
      </c>
      <c r="J40">
        <v>137.30000000000001</v>
      </c>
      <c r="K40">
        <v>118.3</v>
      </c>
      <c r="L40">
        <v>41.9</v>
      </c>
      <c r="M40">
        <v>42.2</v>
      </c>
      <c r="N40" s="11">
        <f t="shared" si="4"/>
        <v>405.5</v>
      </c>
      <c r="O40" s="11">
        <f t="shared" si="1"/>
        <v>832.40000000000009</v>
      </c>
      <c r="P40" s="11">
        <f t="shared" si="2"/>
        <v>297.5</v>
      </c>
      <c r="Q40" s="11">
        <f t="shared" si="3"/>
        <v>195.2</v>
      </c>
    </row>
    <row r="41" spans="1:17" x14ac:dyDescent="0.25">
      <c r="A41">
        <v>1940</v>
      </c>
      <c r="B41">
        <v>55</v>
      </c>
      <c r="C41">
        <v>98</v>
      </c>
      <c r="D41">
        <v>62.1</v>
      </c>
      <c r="E41">
        <v>252.5</v>
      </c>
      <c r="F41">
        <v>432.8</v>
      </c>
      <c r="G41">
        <v>438.2</v>
      </c>
      <c r="H41">
        <v>304.60000000000002</v>
      </c>
      <c r="I41">
        <v>51.200009999999999</v>
      </c>
      <c r="J41">
        <v>85.8</v>
      </c>
      <c r="K41">
        <v>61.6</v>
      </c>
      <c r="L41">
        <v>88.2</v>
      </c>
      <c r="M41">
        <v>232.1</v>
      </c>
      <c r="N41" s="11">
        <f t="shared" si="4"/>
        <v>747.40000000000009</v>
      </c>
      <c r="O41" s="11">
        <f t="shared" si="1"/>
        <v>794.00000999999997</v>
      </c>
      <c r="P41" s="11">
        <f t="shared" si="2"/>
        <v>235.60000000000002</v>
      </c>
      <c r="Q41" s="11">
        <f t="shared" si="3"/>
        <v>329.80001000000004</v>
      </c>
    </row>
    <row r="42" spans="1:17" x14ac:dyDescent="0.25">
      <c r="A42">
        <v>1941</v>
      </c>
      <c r="B42">
        <v>57.100009999999997</v>
      </c>
      <c r="C42">
        <v>40.6</v>
      </c>
      <c r="D42">
        <v>166.9</v>
      </c>
      <c r="E42">
        <v>107.7</v>
      </c>
      <c r="F42">
        <v>148.80000000000001</v>
      </c>
      <c r="G42">
        <v>213.1</v>
      </c>
      <c r="H42">
        <v>276.60000000000002</v>
      </c>
      <c r="I42">
        <v>242.8</v>
      </c>
      <c r="J42">
        <v>55.4</v>
      </c>
      <c r="K42">
        <v>44.9</v>
      </c>
      <c r="L42">
        <v>161.1</v>
      </c>
      <c r="M42">
        <v>137.1</v>
      </c>
      <c r="N42" s="11">
        <f t="shared" si="4"/>
        <v>423.40000000000003</v>
      </c>
      <c r="O42" s="11">
        <f t="shared" si="1"/>
        <v>732.5</v>
      </c>
      <c r="P42" s="11">
        <f t="shared" si="2"/>
        <v>261.39999999999998</v>
      </c>
      <c r="Q42" s="11">
        <f t="shared" si="3"/>
        <v>223.39999999999998</v>
      </c>
    </row>
    <row r="43" spans="1:17" x14ac:dyDescent="0.25">
      <c r="A43">
        <v>1942</v>
      </c>
      <c r="B43">
        <v>28.7</v>
      </c>
      <c r="C43">
        <v>57.6</v>
      </c>
      <c r="D43">
        <v>148.69999999999999</v>
      </c>
      <c r="E43">
        <v>100.5</v>
      </c>
      <c r="F43">
        <v>151.80000000000001</v>
      </c>
      <c r="G43">
        <v>107.8</v>
      </c>
      <c r="H43">
        <v>204.6</v>
      </c>
      <c r="I43">
        <v>187.8</v>
      </c>
      <c r="J43">
        <v>123</v>
      </c>
      <c r="K43">
        <v>73.400000000000006</v>
      </c>
      <c r="L43">
        <v>55</v>
      </c>
      <c r="M43">
        <v>66</v>
      </c>
      <c r="N43" s="11">
        <f t="shared" si="4"/>
        <v>401</v>
      </c>
      <c r="O43" s="11">
        <f t="shared" si="1"/>
        <v>500.2</v>
      </c>
      <c r="P43" s="11">
        <f t="shared" si="2"/>
        <v>251.4</v>
      </c>
      <c r="Q43" s="11">
        <f t="shared" si="3"/>
        <v>116.39999999999999</v>
      </c>
    </row>
    <row r="44" spans="1:17" x14ac:dyDescent="0.25">
      <c r="A44">
        <v>1943</v>
      </c>
      <c r="B44">
        <v>12.6</v>
      </c>
      <c r="C44">
        <v>37.799999999999997</v>
      </c>
      <c r="D44">
        <v>173.1</v>
      </c>
      <c r="E44">
        <v>63.3</v>
      </c>
      <c r="F44">
        <v>186.9</v>
      </c>
      <c r="G44">
        <v>175.1</v>
      </c>
      <c r="H44">
        <v>290.8</v>
      </c>
      <c r="I44">
        <v>53.600009999999997</v>
      </c>
      <c r="J44">
        <v>129.69999999999999</v>
      </c>
      <c r="K44">
        <v>42.5</v>
      </c>
      <c r="L44">
        <v>30.2</v>
      </c>
      <c r="M44">
        <v>3.799995</v>
      </c>
      <c r="N44" s="11">
        <f t="shared" si="4"/>
        <v>423.29999999999995</v>
      </c>
      <c r="O44" s="11">
        <f t="shared" si="1"/>
        <v>519.50000999999997</v>
      </c>
      <c r="P44" s="11">
        <f t="shared" si="2"/>
        <v>202.39999999999998</v>
      </c>
      <c r="Q44" s="11">
        <f t="shared" si="3"/>
        <v>93.199995000000001</v>
      </c>
    </row>
    <row r="45" spans="1:17" x14ac:dyDescent="0.25">
      <c r="A45">
        <v>1944</v>
      </c>
      <c r="B45">
        <v>67.7</v>
      </c>
      <c r="C45">
        <v>21.7</v>
      </c>
      <c r="D45">
        <v>66.8</v>
      </c>
      <c r="E45">
        <v>138.19999999999999</v>
      </c>
      <c r="F45">
        <v>123.9</v>
      </c>
      <c r="G45">
        <v>519.29999999999995</v>
      </c>
      <c r="H45">
        <v>267.10000000000002</v>
      </c>
      <c r="I45">
        <v>415.4</v>
      </c>
      <c r="J45">
        <v>98</v>
      </c>
      <c r="K45">
        <v>146.19999999999999</v>
      </c>
      <c r="L45">
        <v>35.5</v>
      </c>
      <c r="M45">
        <v>11.7</v>
      </c>
      <c r="N45" s="11">
        <f t="shared" si="4"/>
        <v>328.9</v>
      </c>
      <c r="O45" s="11">
        <f t="shared" si="1"/>
        <v>1201.8</v>
      </c>
      <c r="P45" s="11">
        <f t="shared" si="2"/>
        <v>279.7</v>
      </c>
      <c r="Q45" s="11">
        <f t="shared" si="3"/>
        <v>200.89999999999998</v>
      </c>
    </row>
    <row r="46" spans="1:17" x14ac:dyDescent="0.25">
      <c r="A46">
        <v>1945</v>
      </c>
      <c r="B46">
        <v>119</v>
      </c>
      <c r="C46">
        <v>70.2</v>
      </c>
      <c r="D46">
        <v>230.5</v>
      </c>
      <c r="E46">
        <v>102.4</v>
      </c>
      <c r="F46">
        <v>471</v>
      </c>
      <c r="G46">
        <v>301.89999999999998</v>
      </c>
      <c r="H46">
        <v>323.10000000000002</v>
      </c>
      <c r="I46">
        <v>281.3</v>
      </c>
      <c r="J46">
        <v>86.5</v>
      </c>
      <c r="K46">
        <v>36.200000000000003</v>
      </c>
      <c r="L46">
        <v>174.6</v>
      </c>
      <c r="M46">
        <v>109.6</v>
      </c>
      <c r="N46" s="11">
        <f t="shared" si="4"/>
        <v>803.9</v>
      </c>
      <c r="O46" s="11">
        <f t="shared" si="1"/>
        <v>906.3</v>
      </c>
      <c r="P46" s="11">
        <f t="shared" si="2"/>
        <v>297.3</v>
      </c>
      <c r="Q46" s="11">
        <f t="shared" si="3"/>
        <v>270.7</v>
      </c>
    </row>
    <row r="47" spans="1:17" x14ac:dyDescent="0.25">
      <c r="A47">
        <v>1946</v>
      </c>
      <c r="B47">
        <v>93.5</v>
      </c>
      <c r="C47">
        <v>67.599999999999994</v>
      </c>
      <c r="D47">
        <v>41.1</v>
      </c>
      <c r="E47">
        <v>105.4</v>
      </c>
      <c r="F47">
        <v>164.5</v>
      </c>
      <c r="G47">
        <v>160.1</v>
      </c>
      <c r="H47">
        <v>313.10000000000002</v>
      </c>
      <c r="I47">
        <v>79.599999999999994</v>
      </c>
      <c r="J47">
        <v>227.9</v>
      </c>
      <c r="K47">
        <v>88.2</v>
      </c>
      <c r="L47">
        <v>172.2</v>
      </c>
      <c r="M47">
        <v>60.5</v>
      </c>
      <c r="N47" s="11">
        <f t="shared" si="4"/>
        <v>311</v>
      </c>
      <c r="O47" s="11">
        <f t="shared" si="1"/>
        <v>552.80000000000007</v>
      </c>
      <c r="P47" s="11">
        <f t="shared" si="2"/>
        <v>488.3</v>
      </c>
      <c r="Q47" s="11">
        <f t="shared" si="3"/>
        <v>177.10000000000002</v>
      </c>
    </row>
    <row r="48" spans="1:17" x14ac:dyDescent="0.25">
      <c r="A48">
        <v>1947</v>
      </c>
      <c r="B48">
        <v>78.3</v>
      </c>
      <c r="C48">
        <v>38.299999999999997</v>
      </c>
      <c r="D48">
        <v>51.7</v>
      </c>
      <c r="E48">
        <v>40.1</v>
      </c>
      <c r="F48">
        <v>208.5</v>
      </c>
      <c r="G48">
        <v>291.5</v>
      </c>
      <c r="H48">
        <v>62.299990000000001</v>
      </c>
      <c r="I48">
        <v>188.9</v>
      </c>
      <c r="J48">
        <v>112.5</v>
      </c>
      <c r="K48">
        <v>19.899999999999999</v>
      </c>
      <c r="L48">
        <v>33.1</v>
      </c>
      <c r="M48">
        <v>82.8</v>
      </c>
      <c r="N48" s="11">
        <f t="shared" si="4"/>
        <v>300.3</v>
      </c>
      <c r="O48" s="11">
        <f t="shared" si="1"/>
        <v>542.69998999999996</v>
      </c>
      <c r="P48" s="11">
        <f t="shared" si="2"/>
        <v>165.5</v>
      </c>
      <c r="Q48" s="11">
        <f t="shared" si="3"/>
        <v>168.2</v>
      </c>
    </row>
    <row r="49" spans="1:17" x14ac:dyDescent="0.25">
      <c r="A49">
        <v>1948</v>
      </c>
      <c r="B49">
        <v>66.2</v>
      </c>
      <c r="C49">
        <v>19.2</v>
      </c>
      <c r="D49">
        <v>54.4</v>
      </c>
      <c r="E49">
        <v>103.4</v>
      </c>
      <c r="F49">
        <v>76.7</v>
      </c>
      <c r="G49">
        <v>259.39999999999998</v>
      </c>
      <c r="H49">
        <v>345.6</v>
      </c>
      <c r="I49">
        <v>108.6</v>
      </c>
      <c r="J49">
        <v>160.80000000000001</v>
      </c>
      <c r="K49">
        <v>44</v>
      </c>
      <c r="L49">
        <v>41.5</v>
      </c>
      <c r="M49">
        <v>87.3</v>
      </c>
      <c r="N49" s="11">
        <f t="shared" si="4"/>
        <v>234.5</v>
      </c>
      <c r="O49" s="11">
        <f t="shared" si="1"/>
        <v>713.6</v>
      </c>
      <c r="P49" s="11">
        <f t="shared" si="2"/>
        <v>246.3</v>
      </c>
      <c r="Q49" s="11">
        <f t="shared" si="3"/>
        <v>331.7</v>
      </c>
    </row>
    <row r="50" spans="1:17" x14ac:dyDescent="0.25">
      <c r="A50">
        <v>1949</v>
      </c>
      <c r="B50">
        <v>76.2</v>
      </c>
      <c r="C50">
        <v>168.2</v>
      </c>
      <c r="D50">
        <v>232.7</v>
      </c>
      <c r="E50">
        <v>69.099999999999994</v>
      </c>
      <c r="F50">
        <v>570.6</v>
      </c>
      <c r="G50">
        <v>490.1</v>
      </c>
      <c r="H50">
        <v>102</v>
      </c>
      <c r="I50">
        <v>71.30001</v>
      </c>
      <c r="J50">
        <v>38.6</v>
      </c>
      <c r="K50">
        <v>30.4</v>
      </c>
      <c r="L50">
        <v>27.3</v>
      </c>
      <c r="M50">
        <v>112.1</v>
      </c>
      <c r="N50" s="11">
        <f t="shared" si="4"/>
        <v>872.4</v>
      </c>
      <c r="O50" s="11">
        <f t="shared" si="1"/>
        <v>663.40001000000007</v>
      </c>
      <c r="P50" s="11">
        <f t="shared" si="2"/>
        <v>96.3</v>
      </c>
      <c r="Q50" s="11">
        <f t="shared" si="3"/>
        <v>149.500001</v>
      </c>
    </row>
    <row r="51" spans="1:17" x14ac:dyDescent="0.25">
      <c r="A51">
        <v>1950</v>
      </c>
      <c r="B51" s="12">
        <v>3.7000009999999999</v>
      </c>
      <c r="C51" s="12">
        <v>33.700000000000003</v>
      </c>
      <c r="D51" s="12">
        <v>108.9</v>
      </c>
      <c r="E51" s="12">
        <v>103.5</v>
      </c>
      <c r="F51" s="12">
        <v>252.2</v>
      </c>
      <c r="G51" s="12">
        <v>465.1</v>
      </c>
      <c r="H51" s="12">
        <v>247</v>
      </c>
      <c r="I51" s="12">
        <v>326</v>
      </c>
      <c r="J51" s="12">
        <v>169.1</v>
      </c>
      <c r="K51" s="12">
        <v>53.4</v>
      </c>
      <c r="L51" s="12">
        <v>81.7</v>
      </c>
      <c r="M51" s="12">
        <v>70.599999999999994</v>
      </c>
      <c r="N51" s="11">
        <f t="shared" si="4"/>
        <v>464.6</v>
      </c>
      <c r="O51" s="11">
        <f t="shared" si="1"/>
        <v>1038.0999999999999</v>
      </c>
      <c r="P51" s="11">
        <f t="shared" si="2"/>
        <v>304.2</v>
      </c>
      <c r="Q51" s="11">
        <f t="shared" si="3"/>
        <v>234.5</v>
      </c>
    </row>
    <row r="52" spans="1:17" x14ac:dyDescent="0.25">
      <c r="A52">
        <v>1951</v>
      </c>
      <c r="B52" s="12">
        <v>112</v>
      </c>
      <c r="C52" s="12">
        <v>51.9</v>
      </c>
      <c r="D52" s="12">
        <v>41</v>
      </c>
      <c r="E52" s="12">
        <v>22</v>
      </c>
      <c r="F52" s="12">
        <v>516.79999999999995</v>
      </c>
      <c r="G52" s="12">
        <v>269.8</v>
      </c>
      <c r="H52" s="12">
        <v>288.39999999999998</v>
      </c>
      <c r="I52" s="12">
        <v>157.80000000000001</v>
      </c>
      <c r="J52" s="12">
        <v>185.3</v>
      </c>
      <c r="K52" s="12">
        <v>41.3</v>
      </c>
      <c r="L52" s="12">
        <v>57.3</v>
      </c>
      <c r="M52" s="12">
        <v>60.8</v>
      </c>
      <c r="N52" s="11">
        <f t="shared" si="4"/>
        <v>579.79999999999995</v>
      </c>
      <c r="O52" s="11">
        <f t="shared" si="1"/>
        <v>716</v>
      </c>
      <c r="P52" s="11">
        <f t="shared" si="2"/>
        <v>283.90000000000003</v>
      </c>
      <c r="Q52" s="11">
        <f t="shared" si="3"/>
        <v>97.1</v>
      </c>
    </row>
    <row r="53" spans="1:17" x14ac:dyDescent="0.25">
      <c r="A53">
        <v>1952</v>
      </c>
      <c r="B53" s="12">
        <v>16.8</v>
      </c>
      <c r="C53" s="12">
        <v>19.5</v>
      </c>
      <c r="D53" s="12">
        <v>247</v>
      </c>
      <c r="E53" s="12">
        <v>23.6</v>
      </c>
      <c r="F53" s="12">
        <v>264.7</v>
      </c>
      <c r="G53" s="12">
        <v>136.19999999999999</v>
      </c>
      <c r="H53" s="12">
        <v>119.3</v>
      </c>
      <c r="I53" s="12">
        <v>122.5</v>
      </c>
      <c r="J53" s="12">
        <v>76.2</v>
      </c>
      <c r="K53" s="12">
        <v>46</v>
      </c>
      <c r="L53" s="12">
        <v>39.9</v>
      </c>
      <c r="M53" s="12">
        <v>9.7999989999999997</v>
      </c>
      <c r="N53" s="11">
        <f t="shared" si="4"/>
        <v>535.29999999999995</v>
      </c>
      <c r="O53" s="11">
        <f t="shared" si="1"/>
        <v>378</v>
      </c>
      <c r="P53" s="11">
        <f t="shared" si="2"/>
        <v>162.1</v>
      </c>
      <c r="Q53" s="11">
        <f t="shared" si="3"/>
        <v>183.89999900000001</v>
      </c>
    </row>
    <row r="54" spans="1:17" x14ac:dyDescent="0.25">
      <c r="A54">
        <v>1953</v>
      </c>
      <c r="B54" s="12">
        <v>148.5</v>
      </c>
      <c r="C54" s="12">
        <v>25.6</v>
      </c>
      <c r="D54" s="12">
        <v>92.2</v>
      </c>
      <c r="E54" s="12">
        <v>26.00001</v>
      </c>
      <c r="F54" s="12">
        <v>333.2</v>
      </c>
      <c r="G54" s="12">
        <v>168.5</v>
      </c>
      <c r="H54" s="12">
        <v>290.7</v>
      </c>
      <c r="I54" s="12">
        <v>346.4</v>
      </c>
      <c r="J54" s="12">
        <v>208.8</v>
      </c>
      <c r="K54" s="12">
        <v>49.2</v>
      </c>
      <c r="L54" s="12">
        <v>30.4</v>
      </c>
      <c r="M54" s="12">
        <v>107.8</v>
      </c>
      <c r="N54" s="11">
        <f t="shared" si="4"/>
        <v>451.40001000000001</v>
      </c>
      <c r="O54" s="11">
        <f t="shared" si="1"/>
        <v>805.59999999999991</v>
      </c>
      <c r="P54" s="11">
        <f t="shared" si="2"/>
        <v>288.39999999999998</v>
      </c>
      <c r="Q54" s="11">
        <f t="shared" si="3"/>
        <v>152.099999</v>
      </c>
    </row>
    <row r="55" spans="1:17" x14ac:dyDescent="0.25">
      <c r="A55">
        <v>1954</v>
      </c>
      <c r="B55" s="12">
        <v>9.2999989999999997</v>
      </c>
      <c r="C55" s="12">
        <v>35</v>
      </c>
      <c r="D55" s="12">
        <v>10.5</v>
      </c>
      <c r="E55" s="12">
        <v>138.4</v>
      </c>
      <c r="F55" s="12">
        <v>182.4</v>
      </c>
      <c r="G55" s="12">
        <v>282.3</v>
      </c>
      <c r="H55" s="12">
        <v>292.5</v>
      </c>
      <c r="I55" s="12">
        <v>350.8</v>
      </c>
      <c r="J55" s="12">
        <v>197.6</v>
      </c>
      <c r="K55" s="12">
        <v>56.8</v>
      </c>
      <c r="L55" s="12">
        <v>39.4</v>
      </c>
      <c r="M55" s="12">
        <v>81.7</v>
      </c>
      <c r="N55" s="11">
        <f t="shared" si="4"/>
        <v>331.3</v>
      </c>
      <c r="O55" s="11">
        <f t="shared" si="1"/>
        <v>925.59999999999991</v>
      </c>
      <c r="P55" s="11">
        <f t="shared" si="2"/>
        <v>293.79999999999995</v>
      </c>
      <c r="Q55" s="11">
        <f t="shared" si="3"/>
        <v>187.8</v>
      </c>
    </row>
    <row r="56" spans="1:17" x14ac:dyDescent="0.25">
      <c r="A56">
        <v>1955</v>
      </c>
      <c r="B56" s="12">
        <v>47.2</v>
      </c>
      <c r="C56" s="12">
        <v>58.9</v>
      </c>
      <c r="D56" s="12">
        <v>59.5</v>
      </c>
      <c r="E56" s="12">
        <v>188.4</v>
      </c>
      <c r="F56" s="12">
        <v>94.000010000000003</v>
      </c>
      <c r="G56" s="12">
        <v>378.8</v>
      </c>
      <c r="H56" s="12">
        <v>221.3</v>
      </c>
      <c r="I56" s="12">
        <v>141.4</v>
      </c>
      <c r="J56" s="12">
        <v>109.5</v>
      </c>
      <c r="K56" s="12">
        <v>8</v>
      </c>
      <c r="L56" s="12">
        <v>43.9</v>
      </c>
      <c r="M56" s="12">
        <v>219</v>
      </c>
      <c r="N56" s="11">
        <f t="shared" si="4"/>
        <v>341.90001000000001</v>
      </c>
      <c r="O56" s="11">
        <f t="shared" si="1"/>
        <v>741.5</v>
      </c>
      <c r="P56" s="11">
        <f t="shared" si="2"/>
        <v>161.4</v>
      </c>
      <c r="Q56" s="11">
        <f t="shared" si="3"/>
        <v>337.9</v>
      </c>
    </row>
    <row r="57" spans="1:17" x14ac:dyDescent="0.25">
      <c r="A57">
        <v>1956</v>
      </c>
      <c r="B57" s="12">
        <v>76.7</v>
      </c>
      <c r="C57" s="12">
        <v>42.2</v>
      </c>
      <c r="D57" s="12">
        <v>111.6</v>
      </c>
      <c r="E57" s="12">
        <v>128.9</v>
      </c>
      <c r="F57" s="12">
        <v>99.700010000000006</v>
      </c>
      <c r="G57" s="12">
        <v>101.7</v>
      </c>
      <c r="H57" s="12">
        <v>158.69999999999999</v>
      </c>
      <c r="I57" s="12">
        <v>111.4</v>
      </c>
      <c r="J57" s="12">
        <v>81.8</v>
      </c>
      <c r="K57" s="12">
        <v>27.6</v>
      </c>
      <c r="L57" s="12">
        <v>59</v>
      </c>
      <c r="M57" s="12">
        <v>7.2999989999999997</v>
      </c>
      <c r="N57" s="11">
        <f t="shared" si="4"/>
        <v>340.20001000000002</v>
      </c>
      <c r="O57" s="11">
        <f t="shared" si="1"/>
        <v>371.79999999999995</v>
      </c>
      <c r="P57" s="11">
        <f t="shared" si="2"/>
        <v>168.4</v>
      </c>
      <c r="Q57" s="11">
        <f t="shared" si="3"/>
        <v>52.599998999999997</v>
      </c>
    </row>
    <row r="58" spans="1:17" x14ac:dyDescent="0.25">
      <c r="A58">
        <v>1957</v>
      </c>
      <c r="B58" s="12">
        <v>42.8</v>
      </c>
      <c r="C58" s="12">
        <v>2.5</v>
      </c>
      <c r="D58" s="12">
        <v>62.8</v>
      </c>
      <c r="E58" s="12">
        <v>34.700000000000003</v>
      </c>
      <c r="F58" s="12">
        <v>228.8</v>
      </c>
      <c r="G58" s="12">
        <v>223.2</v>
      </c>
      <c r="H58" s="12">
        <v>338.4</v>
      </c>
      <c r="I58" s="12">
        <v>401.6</v>
      </c>
      <c r="J58" s="12">
        <v>60.4</v>
      </c>
      <c r="K58" s="12">
        <v>49.7</v>
      </c>
      <c r="L58" s="12">
        <v>116.1</v>
      </c>
      <c r="M58" s="12">
        <v>49.1</v>
      </c>
      <c r="N58" s="11">
        <f t="shared" si="4"/>
        <v>326.3</v>
      </c>
      <c r="O58" s="11">
        <f t="shared" si="1"/>
        <v>963.19999999999993</v>
      </c>
      <c r="P58" s="11">
        <f t="shared" si="2"/>
        <v>226.2</v>
      </c>
      <c r="Q58" s="11">
        <f t="shared" si="3"/>
        <v>117.4</v>
      </c>
    </row>
    <row r="59" spans="1:17" x14ac:dyDescent="0.25">
      <c r="A59">
        <v>1958</v>
      </c>
      <c r="B59" s="12">
        <v>16.2</v>
      </c>
      <c r="C59" s="12">
        <v>52.1</v>
      </c>
      <c r="D59" s="12">
        <v>54.6</v>
      </c>
      <c r="E59" s="12">
        <v>113.8</v>
      </c>
      <c r="F59" s="12">
        <v>295.2</v>
      </c>
      <c r="G59" s="12">
        <v>225.5</v>
      </c>
      <c r="H59" s="12">
        <v>495.3</v>
      </c>
      <c r="I59" s="12">
        <v>170.1</v>
      </c>
      <c r="J59" s="12">
        <v>86.9</v>
      </c>
      <c r="K59" s="12">
        <v>5.4000019999999997</v>
      </c>
      <c r="L59" s="12">
        <v>100.4</v>
      </c>
      <c r="M59" s="12">
        <v>72.5</v>
      </c>
      <c r="N59" s="11">
        <f t="shared" si="4"/>
        <v>463.6</v>
      </c>
      <c r="O59" s="11">
        <f t="shared" si="1"/>
        <v>890.9</v>
      </c>
      <c r="P59" s="11">
        <f t="shared" si="2"/>
        <v>192.70000200000001</v>
      </c>
      <c r="Q59" s="11">
        <f t="shared" si="3"/>
        <v>127.3</v>
      </c>
    </row>
    <row r="60" spans="1:17" x14ac:dyDescent="0.25">
      <c r="A60">
        <v>1959</v>
      </c>
      <c r="B60" s="12">
        <v>37.1</v>
      </c>
      <c r="C60" s="12">
        <v>17.7</v>
      </c>
      <c r="D60" s="12">
        <v>211.9</v>
      </c>
      <c r="E60" s="12">
        <v>270.3</v>
      </c>
      <c r="F60" s="12">
        <v>181.7</v>
      </c>
      <c r="G60" s="12">
        <v>92.700010000000006</v>
      </c>
      <c r="H60" s="12">
        <v>209.1</v>
      </c>
      <c r="I60" s="12">
        <v>314.3</v>
      </c>
      <c r="J60" s="12">
        <v>197.4</v>
      </c>
      <c r="K60" s="12">
        <v>99</v>
      </c>
      <c r="L60" s="12">
        <v>27.5</v>
      </c>
      <c r="M60" s="12">
        <v>10.3</v>
      </c>
      <c r="N60" s="11">
        <f t="shared" si="4"/>
        <v>663.90000000000009</v>
      </c>
      <c r="O60" s="11">
        <f t="shared" si="1"/>
        <v>616.10001</v>
      </c>
      <c r="P60" s="11">
        <f t="shared" si="2"/>
        <v>323.89999999999998</v>
      </c>
      <c r="Q60" s="11">
        <f t="shared" si="3"/>
        <v>119</v>
      </c>
    </row>
    <row r="61" spans="1:17" x14ac:dyDescent="0.25">
      <c r="A61">
        <v>1960</v>
      </c>
      <c r="B61" s="12">
        <v>54.9</v>
      </c>
      <c r="C61" s="12">
        <v>53.8</v>
      </c>
      <c r="D61" s="12">
        <v>160.1</v>
      </c>
      <c r="E61" s="12">
        <v>171.5</v>
      </c>
      <c r="F61" s="12">
        <v>123.6</v>
      </c>
      <c r="G61" s="12">
        <v>426.2</v>
      </c>
      <c r="H61" s="12">
        <v>374.7</v>
      </c>
      <c r="I61" s="12">
        <v>109.9</v>
      </c>
      <c r="J61" s="12">
        <v>80.3</v>
      </c>
      <c r="K61" s="12">
        <v>89.5</v>
      </c>
      <c r="L61" s="12">
        <v>64.5</v>
      </c>
      <c r="M61" s="12">
        <v>55.4</v>
      </c>
      <c r="N61" s="11">
        <f t="shared" si="4"/>
        <v>455.20000000000005</v>
      </c>
      <c r="O61" s="11">
        <f t="shared" si="1"/>
        <v>910.8</v>
      </c>
      <c r="P61" s="11">
        <f t="shared" si="2"/>
        <v>234.3</v>
      </c>
      <c r="Q61" s="11">
        <f t="shared" si="3"/>
        <v>238.8</v>
      </c>
    </row>
    <row r="62" spans="1:17" x14ac:dyDescent="0.25">
      <c r="A62">
        <v>1961</v>
      </c>
      <c r="B62" s="12">
        <v>142.1</v>
      </c>
      <c r="C62" s="12">
        <v>41.3</v>
      </c>
      <c r="D62" s="12">
        <v>81.099999999999994</v>
      </c>
      <c r="E62" s="12">
        <v>79.400009999999995</v>
      </c>
      <c r="F62" s="12">
        <v>267.2</v>
      </c>
      <c r="G62" s="12">
        <v>284.7</v>
      </c>
      <c r="H62" s="12">
        <v>254.7</v>
      </c>
      <c r="I62" s="12">
        <v>150.4</v>
      </c>
      <c r="J62" s="12">
        <v>171.5</v>
      </c>
      <c r="K62" s="12">
        <v>42.9</v>
      </c>
      <c r="L62" s="12">
        <v>89.700010000000006</v>
      </c>
      <c r="M62" s="12">
        <v>10.3</v>
      </c>
      <c r="N62" s="11">
        <f t="shared" si="4"/>
        <v>427.70000999999996</v>
      </c>
      <c r="O62" s="11">
        <f t="shared" si="1"/>
        <v>689.8</v>
      </c>
      <c r="P62" s="11">
        <f t="shared" si="2"/>
        <v>304.10001</v>
      </c>
      <c r="Q62" s="11">
        <f t="shared" si="3"/>
        <v>62</v>
      </c>
    </row>
    <row r="63" spans="1:17" x14ac:dyDescent="0.25">
      <c r="A63">
        <v>1962</v>
      </c>
      <c r="B63" s="12">
        <v>18.399999999999999</v>
      </c>
      <c r="C63" s="12">
        <v>33.299999999999997</v>
      </c>
      <c r="D63" s="12">
        <v>50.3</v>
      </c>
      <c r="E63" s="12">
        <v>120.3</v>
      </c>
      <c r="F63" s="12">
        <v>84.400009999999995</v>
      </c>
      <c r="G63" s="12">
        <v>220.3</v>
      </c>
      <c r="H63" s="12">
        <v>149.30000000000001</v>
      </c>
      <c r="I63" s="12">
        <v>308.3</v>
      </c>
      <c r="J63" s="12">
        <v>126</v>
      </c>
      <c r="K63" s="12">
        <v>20.7</v>
      </c>
      <c r="L63" s="12">
        <v>84.9</v>
      </c>
      <c r="M63" s="12">
        <v>54.8</v>
      </c>
      <c r="N63" s="11">
        <f t="shared" si="4"/>
        <v>255.00000999999997</v>
      </c>
      <c r="O63" s="11">
        <f t="shared" si="1"/>
        <v>677.90000000000009</v>
      </c>
      <c r="P63" s="11">
        <f t="shared" si="2"/>
        <v>231.6</v>
      </c>
      <c r="Q63" s="11">
        <f t="shared" si="3"/>
        <v>117.69999999999999</v>
      </c>
    </row>
    <row r="64" spans="1:17" x14ac:dyDescent="0.25">
      <c r="A64">
        <v>1963</v>
      </c>
      <c r="B64" s="12">
        <v>42</v>
      </c>
      <c r="C64" s="12">
        <v>20.9</v>
      </c>
      <c r="D64" s="12">
        <v>101.2</v>
      </c>
      <c r="E64" s="12">
        <v>263.8</v>
      </c>
      <c r="F64" s="12">
        <v>87.900009999999995</v>
      </c>
      <c r="G64" s="12">
        <v>242.4</v>
      </c>
      <c r="H64" s="12">
        <v>117.5</v>
      </c>
      <c r="I64" s="12">
        <v>122.9</v>
      </c>
      <c r="J64" s="12">
        <v>173</v>
      </c>
      <c r="K64" s="12">
        <v>104.3</v>
      </c>
      <c r="L64" s="12">
        <v>101</v>
      </c>
      <c r="M64" s="12">
        <v>47.3</v>
      </c>
      <c r="N64" s="11">
        <f t="shared" si="4"/>
        <v>452.90001000000001</v>
      </c>
      <c r="O64" s="11">
        <f t="shared" si="1"/>
        <v>482.79999999999995</v>
      </c>
      <c r="P64" s="11">
        <f t="shared" si="2"/>
        <v>378.3</v>
      </c>
      <c r="Q64" s="11">
        <f t="shared" si="3"/>
        <v>151.49999</v>
      </c>
    </row>
    <row r="65" spans="1:17" x14ac:dyDescent="0.25">
      <c r="A65">
        <v>1964</v>
      </c>
      <c r="B65" s="12">
        <v>11.1</v>
      </c>
      <c r="C65" s="12">
        <v>93.099990000000005</v>
      </c>
      <c r="D65" s="12">
        <v>65.099990000000005</v>
      </c>
      <c r="E65" s="12">
        <v>177.1</v>
      </c>
      <c r="F65" s="12">
        <v>141.30000000000001</v>
      </c>
      <c r="G65" s="12">
        <v>151.1</v>
      </c>
      <c r="H65" s="12">
        <v>99.599990000000005</v>
      </c>
      <c r="I65" s="12">
        <v>227.3</v>
      </c>
      <c r="J65" s="12">
        <v>147.9</v>
      </c>
      <c r="K65" s="12">
        <v>47.9</v>
      </c>
      <c r="L65" s="12">
        <v>69.5</v>
      </c>
      <c r="M65" s="12">
        <v>117.9</v>
      </c>
      <c r="N65" s="11">
        <f t="shared" si="4"/>
        <v>383.49999000000003</v>
      </c>
      <c r="O65" s="11">
        <f t="shared" si="1"/>
        <v>477.99999000000003</v>
      </c>
      <c r="P65" s="11">
        <f t="shared" si="2"/>
        <v>265.3</v>
      </c>
      <c r="Q65" s="11">
        <f t="shared" si="3"/>
        <v>347.20000000000005</v>
      </c>
    </row>
    <row r="66" spans="1:17" x14ac:dyDescent="0.25">
      <c r="A66">
        <v>1965</v>
      </c>
      <c r="B66" s="12">
        <v>57.2</v>
      </c>
      <c r="C66" s="12">
        <v>172.1</v>
      </c>
      <c r="D66" s="12">
        <v>82.1</v>
      </c>
      <c r="E66" s="12">
        <v>129.1</v>
      </c>
      <c r="F66" s="12">
        <v>161.1</v>
      </c>
      <c r="G66" s="12">
        <v>481.7</v>
      </c>
      <c r="H66" s="12">
        <v>288.60000000000002</v>
      </c>
      <c r="I66" s="12">
        <v>215.5</v>
      </c>
      <c r="J66" s="12">
        <v>34.899990000000003</v>
      </c>
      <c r="K66" s="12">
        <v>140.6</v>
      </c>
      <c r="L66" s="12">
        <v>185.8</v>
      </c>
      <c r="M66" s="12">
        <v>67.8</v>
      </c>
      <c r="N66" s="11">
        <f t="shared" si="4"/>
        <v>372.29999999999995</v>
      </c>
      <c r="O66" s="11">
        <f t="shared" si="1"/>
        <v>985.8</v>
      </c>
      <c r="P66" s="11">
        <f t="shared" si="2"/>
        <v>361.29998999999998</v>
      </c>
      <c r="Q66" s="11">
        <f t="shared" si="3"/>
        <v>98.899997999999997</v>
      </c>
    </row>
    <row r="67" spans="1:17" x14ac:dyDescent="0.25">
      <c r="A67">
        <v>1966</v>
      </c>
      <c r="B67" s="12">
        <v>3.8999980000000001</v>
      </c>
      <c r="C67" s="12">
        <v>27.2</v>
      </c>
      <c r="D67" s="12">
        <v>208.5</v>
      </c>
      <c r="E67" s="12">
        <v>169.7</v>
      </c>
      <c r="F67" s="12">
        <v>284</v>
      </c>
      <c r="G67" s="12">
        <v>394.3</v>
      </c>
      <c r="H67" s="12">
        <v>255.4</v>
      </c>
      <c r="I67" s="12">
        <v>105.7</v>
      </c>
      <c r="J67" s="12">
        <v>95.2</v>
      </c>
      <c r="K67" s="12">
        <v>48</v>
      </c>
      <c r="L67" s="12">
        <v>53.4</v>
      </c>
      <c r="M67" s="12">
        <v>203.3</v>
      </c>
      <c r="N67" s="11">
        <f t="shared" si="4"/>
        <v>662.2</v>
      </c>
      <c r="O67" s="11">
        <f t="shared" ref="O67:O123" si="5">IF(AND(ISNUMBER(G67),ISNUMBER(H67),ISNUMBER(I67)),SUM(G67:I67),"")</f>
        <v>755.40000000000009</v>
      </c>
      <c r="P67" s="11">
        <f t="shared" ref="P67:P123" si="6">IF(AND(ISNUMBER(J67),ISNUMBER(K67),ISNUMBER(L67)),SUM(J67:L67),"")</f>
        <v>196.6</v>
      </c>
      <c r="Q67" s="11">
        <f t="shared" ref="Q67:Q123" si="7">IF(AND(ISNUMBER(M67),ISNUMBER(B68),ISNUMBER(C68)),SUM(M67,B68:C68),"")</f>
        <v>293</v>
      </c>
    </row>
    <row r="68" spans="1:17" x14ac:dyDescent="0.25">
      <c r="A68">
        <v>1967</v>
      </c>
      <c r="B68" s="12">
        <v>42.6</v>
      </c>
      <c r="C68" s="12">
        <v>47.1</v>
      </c>
      <c r="D68" s="12">
        <v>101.3</v>
      </c>
      <c r="E68" s="12">
        <v>43.5</v>
      </c>
      <c r="F68" s="12">
        <v>339</v>
      </c>
      <c r="G68" s="12">
        <v>114.3</v>
      </c>
      <c r="H68" s="12">
        <v>240.2</v>
      </c>
      <c r="I68" s="12">
        <v>383.5</v>
      </c>
      <c r="J68" s="12">
        <v>60.8</v>
      </c>
      <c r="K68" s="12">
        <v>140</v>
      </c>
      <c r="L68" s="12">
        <v>41.4</v>
      </c>
      <c r="M68" s="12">
        <v>37.4</v>
      </c>
      <c r="N68" s="11">
        <f t="shared" si="4"/>
        <v>483.8</v>
      </c>
      <c r="O68" s="11">
        <f t="shared" si="5"/>
        <v>738</v>
      </c>
      <c r="P68" s="11">
        <f t="shared" si="6"/>
        <v>242.20000000000002</v>
      </c>
      <c r="Q68" s="11">
        <f t="shared" si="7"/>
        <v>171.9</v>
      </c>
    </row>
    <row r="69" spans="1:17" x14ac:dyDescent="0.25">
      <c r="A69">
        <v>1968</v>
      </c>
      <c r="B69" s="12">
        <v>10.8</v>
      </c>
      <c r="C69" s="12">
        <v>123.7</v>
      </c>
      <c r="D69" s="12">
        <v>96.5</v>
      </c>
      <c r="E69" s="12">
        <v>47.5</v>
      </c>
      <c r="F69" s="12">
        <v>75.000020000000006</v>
      </c>
      <c r="G69" s="12">
        <v>104.9</v>
      </c>
      <c r="H69" s="12">
        <v>134.1</v>
      </c>
      <c r="I69" s="12">
        <v>152.19999999999999</v>
      </c>
      <c r="J69" s="12">
        <v>200.1</v>
      </c>
      <c r="K69" s="12">
        <v>77.400000000000006</v>
      </c>
      <c r="L69" s="12">
        <v>40.299999999999997</v>
      </c>
      <c r="M69" s="12">
        <v>169.2</v>
      </c>
      <c r="N69" s="11">
        <f t="shared" si="4"/>
        <v>219.00002000000001</v>
      </c>
      <c r="O69" s="11">
        <f t="shared" si="5"/>
        <v>391.2</v>
      </c>
      <c r="P69" s="11">
        <f t="shared" si="6"/>
        <v>317.8</v>
      </c>
      <c r="Q69" s="11">
        <f t="shared" si="7"/>
        <v>236.1</v>
      </c>
    </row>
    <row r="70" spans="1:17" x14ac:dyDescent="0.25">
      <c r="A70">
        <v>1969</v>
      </c>
      <c r="B70" s="12">
        <v>14.8</v>
      </c>
      <c r="C70" s="12">
        <v>52.1</v>
      </c>
      <c r="D70" s="12">
        <v>69.5</v>
      </c>
      <c r="E70" s="12">
        <v>218</v>
      </c>
      <c r="F70" s="12">
        <v>125.7</v>
      </c>
      <c r="G70" s="12">
        <v>201.9</v>
      </c>
      <c r="H70" s="12">
        <v>259.2</v>
      </c>
      <c r="I70" s="12">
        <v>348.5</v>
      </c>
      <c r="J70" s="12">
        <v>108.9</v>
      </c>
      <c r="K70" s="12">
        <v>61.9</v>
      </c>
      <c r="L70" s="12">
        <v>61.7</v>
      </c>
      <c r="M70" s="12">
        <v>23.7</v>
      </c>
      <c r="N70" s="11">
        <f t="shared" si="4"/>
        <v>413.2</v>
      </c>
      <c r="O70" s="11">
        <f t="shared" si="5"/>
        <v>809.6</v>
      </c>
      <c r="P70" s="11">
        <f t="shared" si="6"/>
        <v>232.5</v>
      </c>
      <c r="Q70" s="11">
        <f t="shared" si="7"/>
        <v>118.60000000000001</v>
      </c>
    </row>
    <row r="71" spans="1:17" x14ac:dyDescent="0.25">
      <c r="A71">
        <v>1970</v>
      </c>
      <c r="B71" s="12">
        <v>66.400000000000006</v>
      </c>
      <c r="C71" s="12">
        <v>28.5</v>
      </c>
      <c r="D71" s="12">
        <v>59.9</v>
      </c>
      <c r="E71" s="12">
        <v>186.1</v>
      </c>
      <c r="F71" s="12">
        <v>181.6</v>
      </c>
      <c r="G71" s="12">
        <v>169.4</v>
      </c>
      <c r="H71" s="12">
        <v>332.3</v>
      </c>
      <c r="I71" s="12">
        <v>143.19999999999999</v>
      </c>
      <c r="J71" s="12">
        <v>135.19999999999999</v>
      </c>
      <c r="K71" s="12">
        <v>17.2</v>
      </c>
      <c r="L71" s="12">
        <v>35.4</v>
      </c>
      <c r="M71" s="12">
        <v>135.80000000000001</v>
      </c>
      <c r="N71" s="11">
        <f t="shared" si="4"/>
        <v>427.6</v>
      </c>
      <c r="O71" s="11">
        <f t="shared" si="5"/>
        <v>644.90000000000009</v>
      </c>
      <c r="P71" s="11">
        <f t="shared" si="6"/>
        <v>187.79999999999998</v>
      </c>
      <c r="Q71" s="11">
        <f t="shared" si="7"/>
        <v>289.40000000000003</v>
      </c>
    </row>
    <row r="72" spans="1:17" x14ac:dyDescent="0.25">
      <c r="A72">
        <v>1971</v>
      </c>
      <c r="B72" s="12">
        <v>72.400000000000006</v>
      </c>
      <c r="C72" s="12">
        <v>81.2</v>
      </c>
      <c r="D72" s="12">
        <v>59.9</v>
      </c>
      <c r="E72" s="12">
        <v>72</v>
      </c>
      <c r="F72" s="12">
        <v>179.9</v>
      </c>
      <c r="G72" s="12">
        <v>219.1</v>
      </c>
      <c r="H72" s="12">
        <v>374.2</v>
      </c>
      <c r="I72" s="12">
        <v>298.7</v>
      </c>
      <c r="J72" s="12">
        <v>97.6</v>
      </c>
      <c r="K72" s="12">
        <v>15.9</v>
      </c>
      <c r="L72" s="12">
        <v>58.3</v>
      </c>
      <c r="M72" s="12">
        <v>131.1</v>
      </c>
      <c r="N72" s="11">
        <f t="shared" si="4"/>
        <v>311.8</v>
      </c>
      <c r="O72" s="11">
        <f t="shared" si="5"/>
        <v>892</v>
      </c>
      <c r="P72" s="11">
        <f t="shared" si="6"/>
        <v>171.8</v>
      </c>
      <c r="Q72" s="11">
        <f t="shared" si="7"/>
        <v>203.5</v>
      </c>
    </row>
    <row r="73" spans="1:17" x14ac:dyDescent="0.25">
      <c r="A73">
        <v>1972</v>
      </c>
      <c r="B73" s="12">
        <v>55.7</v>
      </c>
      <c r="C73" s="12">
        <v>16.7</v>
      </c>
      <c r="D73" s="12">
        <v>91</v>
      </c>
      <c r="E73" s="12">
        <v>37.4</v>
      </c>
      <c r="F73" s="12">
        <v>315.10000000000002</v>
      </c>
      <c r="G73" s="12">
        <v>239.3</v>
      </c>
      <c r="H73" s="12">
        <v>235.8</v>
      </c>
      <c r="I73" s="12">
        <v>228</v>
      </c>
      <c r="J73" s="12">
        <v>105.4</v>
      </c>
      <c r="K73" s="12">
        <v>82.2</v>
      </c>
      <c r="L73" s="12">
        <v>84.1</v>
      </c>
      <c r="M73" s="12">
        <v>46.5</v>
      </c>
      <c r="N73" s="11">
        <f t="shared" si="4"/>
        <v>443.5</v>
      </c>
      <c r="O73" s="11">
        <f t="shared" si="5"/>
        <v>703.1</v>
      </c>
      <c r="P73" s="11">
        <f t="shared" si="6"/>
        <v>271.70000000000005</v>
      </c>
      <c r="Q73" s="11">
        <f t="shared" si="7"/>
        <v>106.89999999999999</v>
      </c>
    </row>
    <row r="74" spans="1:17" x14ac:dyDescent="0.25">
      <c r="A74">
        <v>1973</v>
      </c>
      <c r="B74" s="12">
        <v>33.1</v>
      </c>
      <c r="C74" s="12">
        <v>27.3</v>
      </c>
      <c r="D74" s="12">
        <v>144.4</v>
      </c>
      <c r="E74" s="12">
        <v>157.4</v>
      </c>
      <c r="F74" s="12">
        <v>183.3</v>
      </c>
      <c r="G74" s="12">
        <v>322.3</v>
      </c>
      <c r="H74" s="12">
        <v>178.9</v>
      </c>
      <c r="I74" s="12">
        <v>142</v>
      </c>
      <c r="J74" s="12">
        <v>58.4</v>
      </c>
      <c r="K74" s="12">
        <v>88.7</v>
      </c>
      <c r="L74" s="12">
        <v>30.6</v>
      </c>
      <c r="M74" s="12">
        <v>31.8</v>
      </c>
      <c r="N74" s="11">
        <f t="shared" si="4"/>
        <v>485.1</v>
      </c>
      <c r="O74" s="11">
        <f t="shared" si="5"/>
        <v>643.20000000000005</v>
      </c>
      <c r="P74" s="11">
        <f t="shared" si="6"/>
        <v>177.7</v>
      </c>
      <c r="Q74" s="11">
        <f t="shared" si="7"/>
        <v>217.5</v>
      </c>
    </row>
    <row r="75" spans="1:17" x14ac:dyDescent="0.25">
      <c r="A75">
        <v>1974</v>
      </c>
      <c r="B75" s="12">
        <v>111.1</v>
      </c>
      <c r="C75" s="12">
        <v>74.599999999999994</v>
      </c>
      <c r="D75" s="12">
        <v>79.099990000000005</v>
      </c>
      <c r="E75" s="12">
        <v>29.4</v>
      </c>
      <c r="F75" s="12">
        <v>190.7</v>
      </c>
      <c r="G75" s="12">
        <v>173.4</v>
      </c>
      <c r="H75" s="12">
        <v>135.19999999999999</v>
      </c>
      <c r="I75" s="12">
        <v>119.4</v>
      </c>
      <c r="J75" s="12">
        <v>93.3</v>
      </c>
      <c r="K75" s="12">
        <v>25.6</v>
      </c>
      <c r="L75" s="12">
        <v>69.8</v>
      </c>
      <c r="M75" s="12">
        <v>71.900000000000006</v>
      </c>
      <c r="N75" s="11">
        <f t="shared" si="4"/>
        <v>299.19998999999996</v>
      </c>
      <c r="O75" s="11">
        <f t="shared" si="5"/>
        <v>428</v>
      </c>
      <c r="P75" s="11">
        <f t="shared" si="6"/>
        <v>188.7</v>
      </c>
      <c r="Q75" s="11">
        <f t="shared" si="7"/>
        <v>183.3</v>
      </c>
    </row>
    <row r="76" spans="1:17" x14ac:dyDescent="0.25">
      <c r="A76">
        <v>1975</v>
      </c>
      <c r="B76" s="12">
        <v>18.7</v>
      </c>
      <c r="C76" s="12">
        <v>92.7</v>
      </c>
      <c r="D76" s="12">
        <v>218.6</v>
      </c>
      <c r="E76" s="12">
        <v>175.6</v>
      </c>
      <c r="F76" s="12">
        <v>174.2</v>
      </c>
      <c r="G76" s="12">
        <v>163.5</v>
      </c>
      <c r="H76" s="12">
        <v>210.9</v>
      </c>
      <c r="I76" s="12">
        <v>117.1</v>
      </c>
      <c r="J76" s="12">
        <v>61.6</v>
      </c>
      <c r="K76" s="12">
        <v>44.4</v>
      </c>
      <c r="L76" s="12">
        <v>137.5</v>
      </c>
      <c r="M76" s="12">
        <v>64.2</v>
      </c>
      <c r="N76" s="11">
        <f t="shared" si="4"/>
        <v>568.4</v>
      </c>
      <c r="O76" s="11">
        <f t="shared" si="5"/>
        <v>491.5</v>
      </c>
      <c r="P76" s="11">
        <f t="shared" si="6"/>
        <v>243.5</v>
      </c>
      <c r="Q76" s="11">
        <f t="shared" si="7"/>
        <v>172.79999999999998</v>
      </c>
    </row>
    <row r="77" spans="1:17" x14ac:dyDescent="0.25">
      <c r="A77">
        <v>1976</v>
      </c>
      <c r="B77" s="12">
        <v>67.5</v>
      </c>
      <c r="C77" s="12">
        <v>41.1</v>
      </c>
      <c r="D77" s="12">
        <v>53.2</v>
      </c>
      <c r="E77" s="12">
        <v>57</v>
      </c>
      <c r="F77" s="12">
        <v>181.4</v>
      </c>
      <c r="G77" s="12">
        <v>405.3</v>
      </c>
      <c r="H77" s="12">
        <v>175</v>
      </c>
      <c r="I77" s="12">
        <v>66.80001</v>
      </c>
      <c r="J77" s="12">
        <v>58.8</v>
      </c>
      <c r="K77" s="12">
        <v>50.600009999999997</v>
      </c>
      <c r="L77" s="12">
        <v>61.100009999999997</v>
      </c>
      <c r="M77" s="12">
        <v>122.2</v>
      </c>
      <c r="N77" s="11">
        <f t="shared" si="4"/>
        <v>291.60000000000002</v>
      </c>
      <c r="O77" s="11">
        <f t="shared" si="5"/>
        <v>647.10001</v>
      </c>
      <c r="P77" s="11">
        <f t="shared" si="6"/>
        <v>170.50002000000001</v>
      </c>
      <c r="Q77" s="11">
        <f t="shared" si="7"/>
        <v>244.39999999999998</v>
      </c>
    </row>
    <row r="78" spans="1:17" x14ac:dyDescent="0.25">
      <c r="A78">
        <v>1977</v>
      </c>
      <c r="B78" s="12">
        <v>56.9</v>
      </c>
      <c r="C78" s="12">
        <v>65.3</v>
      </c>
      <c r="D78" s="12">
        <v>78.2</v>
      </c>
      <c r="E78" s="12">
        <v>164.7</v>
      </c>
      <c r="F78" s="12">
        <v>251.4</v>
      </c>
      <c r="G78" s="12">
        <v>510.7</v>
      </c>
      <c r="H78" s="12">
        <v>154.4</v>
      </c>
      <c r="I78" s="12">
        <v>108.7</v>
      </c>
      <c r="J78" s="12">
        <v>101.7</v>
      </c>
      <c r="K78" s="12">
        <v>67.3</v>
      </c>
      <c r="L78" s="12">
        <v>131.30000000000001</v>
      </c>
      <c r="M78" s="12">
        <v>162</v>
      </c>
      <c r="N78" s="11">
        <f t="shared" si="4"/>
        <v>494.29999999999995</v>
      </c>
      <c r="O78" s="11">
        <f t="shared" si="5"/>
        <v>773.80000000000007</v>
      </c>
      <c r="P78" s="11">
        <f t="shared" si="6"/>
        <v>300.3</v>
      </c>
      <c r="Q78" s="11">
        <f t="shared" si="7"/>
        <v>283.8</v>
      </c>
    </row>
    <row r="79" spans="1:17" x14ac:dyDescent="0.25">
      <c r="A79">
        <v>1978</v>
      </c>
      <c r="B79" s="12">
        <v>39.5</v>
      </c>
      <c r="C79" s="12">
        <v>82.3</v>
      </c>
      <c r="D79" s="12">
        <v>52.6</v>
      </c>
      <c r="E79" s="12">
        <v>14.100009999999999</v>
      </c>
      <c r="F79" s="12">
        <v>287.7</v>
      </c>
      <c r="G79" s="12">
        <v>228.7</v>
      </c>
      <c r="H79" s="12">
        <v>452.4</v>
      </c>
      <c r="I79" s="12">
        <v>95.9</v>
      </c>
      <c r="J79" s="12">
        <v>58</v>
      </c>
      <c r="K79" s="12">
        <v>164.3</v>
      </c>
      <c r="L79" s="12">
        <v>37.4</v>
      </c>
      <c r="M79" s="12">
        <v>5.5</v>
      </c>
      <c r="N79" s="11">
        <f t="shared" si="4"/>
        <v>354.40001000000001</v>
      </c>
      <c r="O79" s="11">
        <f t="shared" si="5"/>
        <v>776.99999999999989</v>
      </c>
      <c r="P79" s="11">
        <f t="shared" si="6"/>
        <v>259.7</v>
      </c>
      <c r="Q79" s="11">
        <f t="shared" si="7"/>
        <v>26.999998999999999</v>
      </c>
    </row>
    <row r="80" spans="1:17" x14ac:dyDescent="0.25">
      <c r="A80">
        <v>1979</v>
      </c>
      <c r="B80" s="12">
        <v>12.2</v>
      </c>
      <c r="C80" s="12">
        <v>9.2999989999999997</v>
      </c>
      <c r="D80" s="12">
        <v>64.5</v>
      </c>
      <c r="E80" s="12">
        <v>36.500010000000003</v>
      </c>
      <c r="F80" s="12">
        <v>217.7</v>
      </c>
      <c r="G80" s="12">
        <v>89.400009999999995</v>
      </c>
      <c r="H80" s="12">
        <v>242.8</v>
      </c>
      <c r="I80" s="12">
        <v>395.9</v>
      </c>
      <c r="J80" s="12">
        <v>104.1</v>
      </c>
      <c r="K80" s="12">
        <v>114.3</v>
      </c>
      <c r="L80" s="12">
        <v>114.2</v>
      </c>
      <c r="M80" s="12">
        <v>100.8</v>
      </c>
      <c r="N80" s="11">
        <f t="shared" si="4"/>
        <v>318.70001000000002</v>
      </c>
      <c r="O80" s="11">
        <f t="shared" si="5"/>
        <v>728.10001</v>
      </c>
      <c r="P80" s="11">
        <f t="shared" si="6"/>
        <v>332.59999999999997</v>
      </c>
      <c r="Q80" s="11">
        <f t="shared" si="7"/>
        <v>275.3</v>
      </c>
    </row>
    <row r="81" spans="1:17" x14ac:dyDescent="0.25">
      <c r="A81">
        <v>1980</v>
      </c>
      <c r="B81" s="12">
        <v>11.2</v>
      </c>
      <c r="C81" s="12">
        <v>163.30000000000001</v>
      </c>
      <c r="D81" s="12">
        <v>79.3</v>
      </c>
      <c r="E81" s="12">
        <v>248.8</v>
      </c>
      <c r="F81" s="12">
        <v>292.10000000000002</v>
      </c>
      <c r="G81" s="12">
        <v>283.60000000000002</v>
      </c>
      <c r="H81" s="12">
        <v>206.6</v>
      </c>
      <c r="I81" s="12">
        <v>302.7</v>
      </c>
      <c r="J81" s="12">
        <v>79.2</v>
      </c>
      <c r="K81" s="12">
        <v>7.5</v>
      </c>
      <c r="L81" s="12">
        <v>108.1</v>
      </c>
      <c r="M81" s="12">
        <v>82.6</v>
      </c>
      <c r="N81" s="11">
        <f t="shared" si="4"/>
        <v>620.20000000000005</v>
      </c>
      <c r="O81" s="11">
        <f t="shared" si="5"/>
        <v>792.90000000000009</v>
      </c>
      <c r="P81" s="11">
        <f t="shared" si="6"/>
        <v>194.8</v>
      </c>
      <c r="Q81" s="11">
        <f t="shared" si="7"/>
        <v>168.89999699999998</v>
      </c>
    </row>
    <row r="82" spans="1:17" x14ac:dyDescent="0.25">
      <c r="A82">
        <v>1981</v>
      </c>
      <c r="B82" s="12">
        <v>77.599999999999994</v>
      </c>
      <c r="C82" s="12">
        <v>8.6999969999999998</v>
      </c>
      <c r="D82" s="12">
        <v>113.6</v>
      </c>
      <c r="E82" s="12">
        <v>117.3</v>
      </c>
      <c r="F82" s="12">
        <v>557.4</v>
      </c>
      <c r="G82" s="12">
        <v>232.7</v>
      </c>
      <c r="H82" s="12">
        <v>148.1</v>
      </c>
      <c r="I82" s="12">
        <v>90.1</v>
      </c>
      <c r="J82" s="12">
        <v>211.1</v>
      </c>
      <c r="K82" s="12">
        <v>47.4</v>
      </c>
      <c r="L82" s="12">
        <v>47.5</v>
      </c>
      <c r="M82" s="12">
        <v>47.4</v>
      </c>
      <c r="N82" s="11">
        <f t="shared" si="4"/>
        <v>788.3</v>
      </c>
      <c r="O82" s="11">
        <f t="shared" si="5"/>
        <v>470.9</v>
      </c>
      <c r="P82" s="11">
        <f t="shared" si="6"/>
        <v>306</v>
      </c>
      <c r="Q82" s="11">
        <f t="shared" si="7"/>
        <v>156.1</v>
      </c>
    </row>
    <row r="83" spans="1:17" x14ac:dyDescent="0.25">
      <c r="A83">
        <v>1982</v>
      </c>
      <c r="B83" s="12">
        <v>56.4</v>
      </c>
      <c r="C83" s="12">
        <v>52.3</v>
      </c>
      <c r="D83" s="12">
        <v>93.7</v>
      </c>
      <c r="E83" s="12">
        <v>41.7</v>
      </c>
      <c r="F83" s="12">
        <v>291.89999999999998</v>
      </c>
      <c r="G83" s="12">
        <v>382.5</v>
      </c>
      <c r="H83" s="12">
        <v>272.7</v>
      </c>
      <c r="I83" s="12">
        <v>207.9</v>
      </c>
      <c r="J83" s="12">
        <v>169.8</v>
      </c>
      <c r="K83" s="12">
        <v>74.8</v>
      </c>
      <c r="L83" s="12">
        <v>86.9</v>
      </c>
      <c r="M83" s="12">
        <v>8.9999959999999994</v>
      </c>
      <c r="N83" s="11">
        <f t="shared" si="4"/>
        <v>427.29999999999995</v>
      </c>
      <c r="O83" s="11">
        <f t="shared" si="5"/>
        <v>863.1</v>
      </c>
      <c r="P83" s="11">
        <f t="shared" si="6"/>
        <v>331.5</v>
      </c>
      <c r="Q83" s="11">
        <f t="shared" si="7"/>
        <v>62.199995999999999</v>
      </c>
    </row>
    <row r="84" spans="1:17" x14ac:dyDescent="0.25">
      <c r="A84">
        <v>1983</v>
      </c>
      <c r="B84" s="12">
        <v>31</v>
      </c>
      <c r="C84" s="12">
        <v>22.2</v>
      </c>
      <c r="D84" s="12">
        <v>65.3</v>
      </c>
      <c r="E84" s="12">
        <v>147.80000000000001</v>
      </c>
      <c r="F84" s="12">
        <v>87.30001</v>
      </c>
      <c r="G84" s="12">
        <v>265.2</v>
      </c>
      <c r="H84" s="12">
        <v>228.3</v>
      </c>
      <c r="I84" s="12">
        <v>68.900000000000006</v>
      </c>
      <c r="J84" s="12">
        <v>211.4</v>
      </c>
      <c r="K84" s="12">
        <v>57.100009999999997</v>
      </c>
      <c r="L84" s="12">
        <v>10.9</v>
      </c>
      <c r="M84" s="12">
        <v>16.100000000000001</v>
      </c>
      <c r="N84" s="11">
        <f t="shared" si="4"/>
        <v>300.40001000000001</v>
      </c>
      <c r="O84" s="11">
        <f t="shared" si="5"/>
        <v>562.4</v>
      </c>
      <c r="P84" s="11">
        <f t="shared" si="6"/>
        <v>279.40000999999995</v>
      </c>
      <c r="Q84" s="11">
        <f t="shared" si="7"/>
        <v>173</v>
      </c>
    </row>
    <row r="85" spans="1:17" x14ac:dyDescent="0.25">
      <c r="A85">
        <v>1984</v>
      </c>
      <c r="B85" s="12">
        <v>52.5</v>
      </c>
      <c r="C85" s="12">
        <v>104.4</v>
      </c>
      <c r="D85" s="12">
        <v>211.5</v>
      </c>
      <c r="E85" s="12">
        <v>95.8</v>
      </c>
      <c r="F85" s="12">
        <v>305.60000000000002</v>
      </c>
      <c r="G85" s="12">
        <v>233.5</v>
      </c>
      <c r="H85" s="12">
        <v>221.3</v>
      </c>
      <c r="I85" s="12">
        <v>49.8</v>
      </c>
      <c r="J85" s="12">
        <v>99.399990000000003</v>
      </c>
      <c r="K85" s="12">
        <v>194.8</v>
      </c>
      <c r="L85" s="12">
        <v>53.3</v>
      </c>
      <c r="M85" s="12">
        <v>159.9</v>
      </c>
      <c r="N85" s="11">
        <f t="shared" si="4"/>
        <v>612.90000000000009</v>
      </c>
      <c r="O85" s="11">
        <f t="shared" si="5"/>
        <v>504.6</v>
      </c>
      <c r="P85" s="11">
        <f t="shared" si="6"/>
        <v>347.49999000000003</v>
      </c>
      <c r="Q85" s="11">
        <f t="shared" si="7"/>
        <v>270.3</v>
      </c>
    </row>
    <row r="86" spans="1:17" x14ac:dyDescent="0.25">
      <c r="A86">
        <v>1985</v>
      </c>
      <c r="B86" s="12">
        <v>42.6</v>
      </c>
      <c r="C86" s="12">
        <v>67.8</v>
      </c>
      <c r="D86" s="12">
        <v>117.8</v>
      </c>
      <c r="E86" s="12">
        <v>120.7</v>
      </c>
      <c r="F86" s="12">
        <v>352.5</v>
      </c>
      <c r="G86" s="12">
        <v>174.8</v>
      </c>
      <c r="H86" s="12">
        <v>98.9</v>
      </c>
      <c r="I86" s="12">
        <v>68.000010000000003</v>
      </c>
      <c r="J86" s="12">
        <v>64.8</v>
      </c>
      <c r="K86" s="12">
        <v>29.6</v>
      </c>
      <c r="L86" s="12">
        <v>73.3</v>
      </c>
      <c r="M86" s="12">
        <v>21.2</v>
      </c>
      <c r="N86" s="11">
        <f t="shared" si="4"/>
        <v>591</v>
      </c>
      <c r="O86" s="11">
        <f t="shared" si="5"/>
        <v>341.70001000000002</v>
      </c>
      <c r="P86" s="11">
        <f t="shared" si="6"/>
        <v>167.7</v>
      </c>
      <c r="Q86" s="11">
        <f t="shared" si="7"/>
        <v>132.30000000000001</v>
      </c>
    </row>
    <row r="87" spans="1:17" x14ac:dyDescent="0.25">
      <c r="A87">
        <v>1986</v>
      </c>
      <c r="B87" s="12">
        <v>31.7</v>
      </c>
      <c r="C87" s="12">
        <v>79.400000000000006</v>
      </c>
      <c r="D87" s="12">
        <v>98.9</v>
      </c>
      <c r="E87" s="12">
        <v>126.8</v>
      </c>
      <c r="F87" s="12">
        <v>149.80000000000001</v>
      </c>
      <c r="G87" s="12">
        <v>257.7</v>
      </c>
      <c r="H87" s="12">
        <v>47.8</v>
      </c>
      <c r="I87" s="12">
        <v>154.5</v>
      </c>
      <c r="J87" s="12">
        <v>56.5</v>
      </c>
      <c r="K87" s="12">
        <v>52.5</v>
      </c>
      <c r="L87" s="12">
        <v>154.4</v>
      </c>
      <c r="M87" s="12">
        <v>17.899999999999999</v>
      </c>
      <c r="N87" s="11">
        <f t="shared" si="4"/>
        <v>375.5</v>
      </c>
      <c r="O87" s="11">
        <f t="shared" si="5"/>
        <v>460</v>
      </c>
      <c r="P87" s="11">
        <f t="shared" si="6"/>
        <v>263.39999999999998</v>
      </c>
      <c r="Q87" s="11">
        <f t="shared" si="7"/>
        <v>101.099998</v>
      </c>
    </row>
    <row r="88" spans="1:17" x14ac:dyDescent="0.25">
      <c r="A88">
        <v>1987</v>
      </c>
      <c r="B88" s="12">
        <v>9.0999979999999994</v>
      </c>
      <c r="C88" s="12">
        <v>74.099999999999994</v>
      </c>
      <c r="D88" s="12">
        <v>214.9</v>
      </c>
      <c r="E88" s="12">
        <v>86.900009999999995</v>
      </c>
      <c r="F88" s="12">
        <v>75.000020000000006</v>
      </c>
      <c r="G88" s="12">
        <v>165.7</v>
      </c>
      <c r="H88" s="12">
        <v>314.3</v>
      </c>
      <c r="I88" s="12">
        <v>206.5</v>
      </c>
      <c r="J88" s="12">
        <v>70.899990000000003</v>
      </c>
      <c r="K88" s="12">
        <v>103.5</v>
      </c>
      <c r="L88" s="12">
        <v>72.7</v>
      </c>
      <c r="M88" s="12">
        <v>50.100009999999997</v>
      </c>
      <c r="N88" s="11">
        <f t="shared" si="4"/>
        <v>376.80002999999999</v>
      </c>
      <c r="O88" s="11">
        <f t="shared" si="5"/>
        <v>686.5</v>
      </c>
      <c r="P88" s="11">
        <f t="shared" si="6"/>
        <v>247.09998999999999</v>
      </c>
      <c r="Q88" s="11">
        <f t="shared" si="7"/>
        <v>104.20000899999999</v>
      </c>
    </row>
    <row r="89" spans="1:17" x14ac:dyDescent="0.25">
      <c r="A89">
        <v>1988</v>
      </c>
      <c r="B89" s="12">
        <v>46.3</v>
      </c>
      <c r="C89" s="12">
        <v>7.7999989999999997</v>
      </c>
      <c r="D89" s="12">
        <v>78.8</v>
      </c>
      <c r="E89" s="12">
        <v>66.3</v>
      </c>
      <c r="F89" s="12">
        <v>73.400019999999998</v>
      </c>
      <c r="G89" s="12">
        <v>295.39999999999998</v>
      </c>
      <c r="H89" s="12">
        <v>37.899990000000003</v>
      </c>
      <c r="I89" s="12">
        <v>154.69999999999999</v>
      </c>
      <c r="J89" s="12">
        <v>59</v>
      </c>
      <c r="K89" s="12">
        <v>98.1</v>
      </c>
      <c r="L89" s="12">
        <v>23</v>
      </c>
      <c r="M89" s="12">
        <v>74.3</v>
      </c>
      <c r="N89" s="11">
        <f t="shared" si="4"/>
        <v>218.50002000000001</v>
      </c>
      <c r="O89" s="11">
        <f t="shared" si="5"/>
        <v>487.99998999999997</v>
      </c>
      <c r="P89" s="11">
        <f t="shared" si="6"/>
        <v>180.1</v>
      </c>
      <c r="Q89" s="11">
        <f t="shared" si="7"/>
        <v>129.30000000000001</v>
      </c>
    </row>
    <row r="90" spans="1:17" x14ac:dyDescent="0.25">
      <c r="A90">
        <v>1989</v>
      </c>
      <c r="B90" s="12">
        <v>17.100000000000001</v>
      </c>
      <c r="C90" s="12">
        <v>37.9</v>
      </c>
      <c r="D90" s="12">
        <v>57.8</v>
      </c>
      <c r="E90" s="12">
        <v>70.600009999999997</v>
      </c>
      <c r="F90" s="12">
        <v>30.200009999999999</v>
      </c>
      <c r="G90" s="12">
        <v>279.5</v>
      </c>
      <c r="H90" s="12">
        <v>219.3</v>
      </c>
      <c r="I90" s="12">
        <v>163.9</v>
      </c>
      <c r="J90" s="12">
        <v>63</v>
      </c>
      <c r="K90" s="12">
        <v>24.5</v>
      </c>
      <c r="L90" s="12">
        <v>26.5</v>
      </c>
      <c r="M90" s="12">
        <v>88.2</v>
      </c>
      <c r="N90" s="11">
        <f t="shared" si="4"/>
        <v>158.60002</v>
      </c>
      <c r="O90" s="11">
        <f t="shared" si="5"/>
        <v>662.7</v>
      </c>
      <c r="P90" s="11">
        <f t="shared" si="6"/>
        <v>114</v>
      </c>
      <c r="Q90" s="11">
        <f t="shared" si="7"/>
        <v>246.2</v>
      </c>
    </row>
    <row r="91" spans="1:17" x14ac:dyDescent="0.25">
      <c r="A91">
        <v>1990</v>
      </c>
      <c r="B91" s="12">
        <v>52.8</v>
      </c>
      <c r="C91" s="12">
        <v>105.2</v>
      </c>
      <c r="D91" s="12">
        <v>167.5</v>
      </c>
      <c r="E91" s="12">
        <v>207.6</v>
      </c>
      <c r="F91" s="12">
        <v>157.5</v>
      </c>
      <c r="G91" s="12">
        <v>263.60000000000002</v>
      </c>
      <c r="H91" s="12">
        <v>90.399990000000003</v>
      </c>
      <c r="I91" s="12">
        <v>102.7</v>
      </c>
      <c r="J91" s="12">
        <v>221.5</v>
      </c>
      <c r="K91" s="12">
        <v>53.600009999999997</v>
      </c>
      <c r="L91" s="12">
        <v>44.5</v>
      </c>
      <c r="M91" s="12">
        <v>35.9</v>
      </c>
      <c r="N91" s="11">
        <f t="shared" si="4"/>
        <v>532.6</v>
      </c>
      <c r="O91" s="11">
        <f t="shared" si="5"/>
        <v>456.69999000000001</v>
      </c>
      <c r="P91" s="11">
        <f t="shared" si="6"/>
        <v>319.60001</v>
      </c>
      <c r="Q91" s="11">
        <f t="shared" si="7"/>
        <v>89.199999999999989</v>
      </c>
    </row>
    <row r="92" spans="1:17" x14ac:dyDescent="0.25">
      <c r="A92">
        <v>1991</v>
      </c>
      <c r="B92" s="12">
        <v>38.299999999999997</v>
      </c>
      <c r="C92" s="12">
        <v>15</v>
      </c>
      <c r="D92" s="12">
        <v>73.8</v>
      </c>
      <c r="E92" s="12">
        <v>71.7</v>
      </c>
      <c r="F92" s="12">
        <v>277.60000000000002</v>
      </c>
      <c r="G92" s="12">
        <v>236.9</v>
      </c>
      <c r="H92" s="12">
        <v>230.4</v>
      </c>
      <c r="I92" s="12">
        <v>98.5</v>
      </c>
      <c r="J92" s="12">
        <v>137.4</v>
      </c>
      <c r="K92" s="12">
        <v>55</v>
      </c>
      <c r="L92" s="12">
        <v>32.299999999999997</v>
      </c>
      <c r="M92" s="12">
        <v>253.6</v>
      </c>
      <c r="N92" s="11">
        <f t="shared" si="4"/>
        <v>423.1</v>
      </c>
      <c r="O92" s="11">
        <f t="shared" si="5"/>
        <v>565.79999999999995</v>
      </c>
      <c r="P92" s="11">
        <f t="shared" si="6"/>
        <v>224.7</v>
      </c>
      <c r="Q92" s="11">
        <f t="shared" si="7"/>
        <v>315.59999999999997</v>
      </c>
    </row>
    <row r="93" spans="1:17" x14ac:dyDescent="0.25">
      <c r="A93">
        <v>1992</v>
      </c>
      <c r="B93" s="12">
        <v>14.8</v>
      </c>
      <c r="C93" s="12">
        <v>47.2</v>
      </c>
      <c r="D93" s="12">
        <v>159.9</v>
      </c>
      <c r="E93" s="12">
        <v>119.1</v>
      </c>
      <c r="F93" s="12">
        <v>246.9</v>
      </c>
      <c r="G93" s="12">
        <v>342</v>
      </c>
      <c r="H93" s="12">
        <v>85.999989999999997</v>
      </c>
      <c r="I93" s="12">
        <v>141.19999999999999</v>
      </c>
      <c r="J93" s="12">
        <v>140.9</v>
      </c>
      <c r="K93" s="12">
        <v>146.1</v>
      </c>
      <c r="L93" s="12">
        <v>72.599999999999994</v>
      </c>
      <c r="M93" s="12">
        <v>52.3</v>
      </c>
      <c r="N93" s="11">
        <f t="shared" si="4"/>
        <v>525.9</v>
      </c>
      <c r="O93" s="11">
        <f t="shared" si="5"/>
        <v>569.19999000000007</v>
      </c>
      <c r="P93" s="11">
        <f t="shared" si="6"/>
        <v>359.6</v>
      </c>
      <c r="Q93" s="11">
        <f t="shared" si="7"/>
        <v>84</v>
      </c>
    </row>
    <row r="94" spans="1:17" x14ac:dyDescent="0.25">
      <c r="A94">
        <v>1993</v>
      </c>
      <c r="B94" s="12">
        <v>20.6</v>
      </c>
      <c r="C94" s="12">
        <v>11.1</v>
      </c>
      <c r="D94" s="12">
        <v>246.2</v>
      </c>
      <c r="E94" s="12">
        <v>146.69999999999999</v>
      </c>
      <c r="F94" s="12">
        <v>172.6</v>
      </c>
      <c r="G94" s="12">
        <v>507.4</v>
      </c>
      <c r="H94" s="12">
        <v>273.39999999999998</v>
      </c>
      <c r="I94" s="12">
        <v>92.4</v>
      </c>
      <c r="J94" s="12">
        <v>66.8</v>
      </c>
      <c r="K94" s="12">
        <v>103.3</v>
      </c>
      <c r="L94" s="12">
        <v>66.099999999999994</v>
      </c>
      <c r="M94" s="12">
        <v>106.7</v>
      </c>
      <c r="N94" s="11">
        <f t="shared" si="4"/>
        <v>565.5</v>
      </c>
      <c r="O94" s="11">
        <f t="shared" si="5"/>
        <v>873.19999999999993</v>
      </c>
      <c r="P94" s="11">
        <f t="shared" si="6"/>
        <v>236.2</v>
      </c>
      <c r="Q94" s="11">
        <f t="shared" si="7"/>
        <v>141.6</v>
      </c>
    </row>
    <row r="95" spans="1:17" x14ac:dyDescent="0.25">
      <c r="A95">
        <v>1994</v>
      </c>
      <c r="B95" s="12">
        <v>19.2</v>
      </c>
      <c r="C95" s="12">
        <v>15.7</v>
      </c>
      <c r="D95" s="12">
        <v>69.899990000000003</v>
      </c>
      <c r="E95" s="12">
        <v>109</v>
      </c>
      <c r="F95" s="12">
        <v>191.1</v>
      </c>
      <c r="G95" s="12">
        <v>294.89999999999998</v>
      </c>
      <c r="H95" s="12">
        <v>232.7</v>
      </c>
      <c r="I95" s="12">
        <v>91.4</v>
      </c>
      <c r="J95" s="12">
        <v>157.5</v>
      </c>
      <c r="K95" s="12">
        <v>73.3</v>
      </c>
      <c r="L95" s="12">
        <v>115.5</v>
      </c>
      <c r="M95" s="12">
        <v>76.8</v>
      </c>
      <c r="N95" s="11">
        <f t="shared" si="4"/>
        <v>369.99999000000003</v>
      </c>
      <c r="O95" s="11">
        <f t="shared" si="5"/>
        <v>618.99999999999989</v>
      </c>
      <c r="P95" s="11">
        <f t="shared" si="6"/>
        <v>346.3</v>
      </c>
      <c r="Q95" s="11">
        <f t="shared" si="7"/>
        <v>152.80000000000001</v>
      </c>
    </row>
    <row r="96" spans="1:17" x14ac:dyDescent="0.25">
      <c r="A96">
        <v>1995</v>
      </c>
      <c r="B96" s="12">
        <v>50.6</v>
      </c>
      <c r="C96" s="12">
        <v>25.4</v>
      </c>
      <c r="D96" s="12">
        <v>82</v>
      </c>
      <c r="E96" s="12">
        <v>150.19999999999999</v>
      </c>
      <c r="F96" s="12">
        <v>112.7</v>
      </c>
      <c r="G96" s="12">
        <v>405.3</v>
      </c>
      <c r="H96" s="12">
        <v>199.5</v>
      </c>
      <c r="I96" s="12">
        <v>207.8</v>
      </c>
      <c r="J96" s="12">
        <v>89.8</v>
      </c>
      <c r="K96" s="12">
        <v>70.7</v>
      </c>
      <c r="L96" s="12">
        <v>47.4</v>
      </c>
      <c r="M96" s="12">
        <v>19.899999999999999</v>
      </c>
      <c r="N96" s="11">
        <f t="shared" si="4"/>
        <v>344.9</v>
      </c>
      <c r="O96" s="11">
        <f t="shared" si="5"/>
        <v>812.59999999999991</v>
      </c>
      <c r="P96" s="11">
        <f t="shared" si="6"/>
        <v>207.9</v>
      </c>
      <c r="Q96" s="11">
        <f t="shared" si="7"/>
        <v>91.199999999999989</v>
      </c>
    </row>
    <row r="97" spans="1:17" x14ac:dyDescent="0.25">
      <c r="A97">
        <v>1996</v>
      </c>
      <c r="B97" s="12">
        <v>21.2</v>
      </c>
      <c r="C97" s="12">
        <v>50.1</v>
      </c>
      <c r="D97" s="12">
        <v>158.19999999999999</v>
      </c>
      <c r="E97" s="12">
        <v>112</v>
      </c>
      <c r="F97" s="12">
        <v>151.69999999999999</v>
      </c>
      <c r="G97" s="12">
        <v>132.1</v>
      </c>
      <c r="H97" s="12">
        <v>85.399990000000003</v>
      </c>
      <c r="I97" s="12">
        <v>167.8</v>
      </c>
      <c r="J97" s="12">
        <v>53.3</v>
      </c>
      <c r="K97" s="12">
        <v>54.3</v>
      </c>
      <c r="L97" s="12">
        <v>73.7</v>
      </c>
      <c r="M97" s="12">
        <v>66.5</v>
      </c>
      <c r="N97" s="11">
        <f t="shared" si="4"/>
        <v>421.9</v>
      </c>
      <c r="O97" s="11">
        <f t="shared" si="5"/>
        <v>385.29998999999998</v>
      </c>
      <c r="P97" s="11">
        <f t="shared" si="6"/>
        <v>181.3</v>
      </c>
      <c r="Q97" s="11">
        <f t="shared" si="7"/>
        <v>223.6</v>
      </c>
    </row>
    <row r="98" spans="1:17" x14ac:dyDescent="0.25">
      <c r="A98">
        <v>1997</v>
      </c>
      <c r="B98" s="12">
        <v>85.2</v>
      </c>
      <c r="C98" s="12">
        <v>71.900000000000006</v>
      </c>
      <c r="D98" s="12">
        <v>133.5</v>
      </c>
      <c r="E98" s="12">
        <v>246.6</v>
      </c>
      <c r="F98" s="12">
        <v>117.6</v>
      </c>
      <c r="G98" s="12">
        <v>316.8</v>
      </c>
      <c r="H98" s="12">
        <v>270.2</v>
      </c>
      <c r="I98" s="12">
        <v>153.30000000000001</v>
      </c>
      <c r="J98" s="12">
        <v>130.6</v>
      </c>
      <c r="K98" s="12">
        <v>121.8</v>
      </c>
      <c r="L98" s="12">
        <v>130.5</v>
      </c>
      <c r="M98" s="12">
        <v>66.5</v>
      </c>
      <c r="N98" s="11">
        <f t="shared" si="4"/>
        <v>497.70000000000005</v>
      </c>
      <c r="O98" s="11">
        <f t="shared" si="5"/>
        <v>740.3</v>
      </c>
      <c r="P98" s="11">
        <f t="shared" si="6"/>
        <v>382.9</v>
      </c>
      <c r="Q98" s="11">
        <f t="shared" si="7"/>
        <v>116.1</v>
      </c>
    </row>
    <row r="99" spans="1:17" x14ac:dyDescent="0.25">
      <c r="A99">
        <v>1998</v>
      </c>
      <c r="B99" s="12">
        <v>22.2</v>
      </c>
      <c r="C99" s="12">
        <v>27.4</v>
      </c>
      <c r="D99" s="12">
        <v>62.1</v>
      </c>
      <c r="E99" s="12">
        <v>167.5</v>
      </c>
      <c r="F99" s="12">
        <v>124.3</v>
      </c>
      <c r="G99" s="12">
        <v>109</v>
      </c>
      <c r="H99" s="12">
        <v>106.1</v>
      </c>
      <c r="I99" s="12">
        <v>120.9</v>
      </c>
      <c r="J99" s="12">
        <v>76.5</v>
      </c>
      <c r="K99" s="12">
        <v>14.8</v>
      </c>
      <c r="L99" s="12">
        <v>35.1</v>
      </c>
      <c r="M99" s="12">
        <v>31.3</v>
      </c>
      <c r="N99" s="11">
        <f t="shared" ref="N99:N123" si="8">IF(AND(ISNUMBER(D99),ISNUMBER(E99),ISNUMBER(F99)),SUM(D99:F99),"")</f>
        <v>353.9</v>
      </c>
      <c r="O99" s="11">
        <f t="shared" si="5"/>
        <v>336</v>
      </c>
      <c r="P99" s="11">
        <f t="shared" si="6"/>
        <v>126.4</v>
      </c>
      <c r="Q99" s="11">
        <f t="shared" si="7"/>
        <v>83.1</v>
      </c>
    </row>
    <row r="100" spans="1:17" x14ac:dyDescent="0.25">
      <c r="A100">
        <v>1999</v>
      </c>
      <c r="B100" s="12">
        <v>24.5</v>
      </c>
      <c r="C100" s="12">
        <v>27.3</v>
      </c>
      <c r="D100" s="12">
        <v>104.8</v>
      </c>
      <c r="E100" s="12">
        <v>61.3</v>
      </c>
      <c r="F100" s="12">
        <v>148.6</v>
      </c>
      <c r="G100" s="12">
        <v>409.8</v>
      </c>
      <c r="H100" s="12">
        <v>145.19999999999999</v>
      </c>
      <c r="I100" s="12">
        <v>265</v>
      </c>
      <c r="J100" s="12">
        <v>163.30000000000001</v>
      </c>
      <c r="K100" s="12">
        <v>38.600009999999997</v>
      </c>
      <c r="L100" s="12">
        <v>79.8</v>
      </c>
      <c r="M100" s="12">
        <v>43.7</v>
      </c>
      <c r="N100" s="11">
        <f t="shared" si="8"/>
        <v>314.7</v>
      </c>
      <c r="O100" s="11">
        <f t="shared" si="5"/>
        <v>820</v>
      </c>
      <c r="P100" s="11">
        <f t="shared" si="6"/>
        <v>281.70001000000002</v>
      </c>
      <c r="Q100" s="11">
        <f t="shared" si="7"/>
        <v>220.1</v>
      </c>
    </row>
    <row r="101" spans="1:17" x14ac:dyDescent="0.25">
      <c r="A101">
        <v>2000</v>
      </c>
      <c r="B101" s="12">
        <v>22.3</v>
      </c>
      <c r="C101" s="12">
        <v>154.1</v>
      </c>
      <c r="D101" s="12">
        <v>65.7</v>
      </c>
      <c r="E101" s="12">
        <v>102.4</v>
      </c>
      <c r="F101" s="12">
        <v>95.400019999999998</v>
      </c>
      <c r="G101" s="12">
        <v>483.5</v>
      </c>
      <c r="H101" s="12">
        <v>273.60000000000002</v>
      </c>
      <c r="I101" s="12">
        <v>154.80000000000001</v>
      </c>
      <c r="J101" s="12">
        <v>176.6</v>
      </c>
      <c r="K101" s="12">
        <v>141.4</v>
      </c>
      <c r="L101" s="12">
        <v>92</v>
      </c>
      <c r="M101" s="12">
        <v>71.7</v>
      </c>
      <c r="N101" s="11">
        <f t="shared" si="8"/>
        <v>263.50002000000001</v>
      </c>
      <c r="O101" s="11">
        <f t="shared" si="5"/>
        <v>911.90000000000009</v>
      </c>
      <c r="P101" s="11">
        <f t="shared" si="6"/>
        <v>410</v>
      </c>
      <c r="Q101" s="11">
        <f t="shared" si="7"/>
        <v>215.1</v>
      </c>
    </row>
    <row r="102" spans="1:17" x14ac:dyDescent="0.25">
      <c r="A102">
        <v>2001</v>
      </c>
      <c r="B102" s="12">
        <v>110.5</v>
      </c>
      <c r="C102" s="12">
        <v>32.9</v>
      </c>
      <c r="D102" s="12">
        <v>119.2</v>
      </c>
      <c r="E102" s="12">
        <v>49.5</v>
      </c>
      <c r="F102" s="12">
        <v>330.1</v>
      </c>
      <c r="G102" s="12">
        <v>316</v>
      </c>
      <c r="H102" s="12">
        <v>391.5</v>
      </c>
      <c r="I102" s="12">
        <v>166.9</v>
      </c>
      <c r="J102" s="12">
        <v>88.7</v>
      </c>
      <c r="K102" s="12">
        <v>42.100009999999997</v>
      </c>
      <c r="L102" s="12">
        <v>48.4</v>
      </c>
      <c r="M102" s="12">
        <v>6.9000019999999997</v>
      </c>
      <c r="N102" s="11">
        <f t="shared" si="8"/>
        <v>498.8</v>
      </c>
      <c r="O102" s="11">
        <f t="shared" si="5"/>
        <v>874.4</v>
      </c>
      <c r="P102" s="11">
        <f t="shared" si="6"/>
        <v>179.20000999999999</v>
      </c>
      <c r="Q102" s="11">
        <f t="shared" si="7"/>
        <v>102.599992</v>
      </c>
    </row>
    <row r="103" spans="1:17" x14ac:dyDescent="0.25">
      <c r="A103">
        <v>2002</v>
      </c>
      <c r="B103" s="12">
        <v>20.8</v>
      </c>
      <c r="C103" s="12">
        <v>74.899990000000003</v>
      </c>
      <c r="D103" s="12">
        <v>175.4</v>
      </c>
      <c r="E103" s="12">
        <v>134.5</v>
      </c>
      <c r="F103" s="12">
        <v>312.39999999999998</v>
      </c>
      <c r="G103" s="12">
        <v>186.1</v>
      </c>
      <c r="H103" s="12">
        <v>100.8</v>
      </c>
      <c r="I103" s="12">
        <v>190.2</v>
      </c>
      <c r="J103" s="12">
        <v>181</v>
      </c>
      <c r="K103" s="12">
        <v>176.7</v>
      </c>
      <c r="L103" s="12">
        <v>164.6</v>
      </c>
      <c r="M103" s="12">
        <v>55.1</v>
      </c>
      <c r="N103" s="11">
        <f t="shared" si="8"/>
        <v>622.29999999999995</v>
      </c>
      <c r="O103" s="11">
        <f t="shared" si="5"/>
        <v>477.09999999999997</v>
      </c>
      <c r="P103" s="11">
        <f t="shared" si="6"/>
        <v>522.29999999999995</v>
      </c>
      <c r="Q103" s="11">
        <f t="shared" si="7"/>
        <v>100.8</v>
      </c>
    </row>
    <row r="104" spans="1:17" x14ac:dyDescent="0.25">
      <c r="A104">
        <v>2003</v>
      </c>
      <c r="B104" s="12">
        <v>30.4</v>
      </c>
      <c r="C104" s="12">
        <v>15.3</v>
      </c>
      <c r="D104" s="12">
        <v>93.599990000000005</v>
      </c>
      <c r="E104" s="12">
        <v>76.8</v>
      </c>
      <c r="F104" s="12">
        <v>67.200010000000006</v>
      </c>
      <c r="G104" s="12">
        <v>418.5</v>
      </c>
      <c r="H104" s="12">
        <v>153.30000000000001</v>
      </c>
      <c r="I104" s="12">
        <v>133.19999999999999</v>
      </c>
      <c r="J104" s="12">
        <v>120.1</v>
      </c>
      <c r="K104" s="12">
        <v>54</v>
      </c>
      <c r="L104" s="12">
        <v>112.8</v>
      </c>
      <c r="M104" s="12">
        <v>103.7</v>
      </c>
      <c r="N104" s="11">
        <f t="shared" si="8"/>
        <v>237.60000000000002</v>
      </c>
      <c r="O104" s="11">
        <f t="shared" si="5"/>
        <v>705</v>
      </c>
      <c r="P104" s="11">
        <f t="shared" si="6"/>
        <v>286.89999999999998</v>
      </c>
      <c r="Q104" s="11">
        <f t="shared" si="7"/>
        <v>141.6</v>
      </c>
    </row>
    <row r="105" spans="1:17" x14ac:dyDescent="0.25">
      <c r="A105">
        <v>2004</v>
      </c>
      <c r="B105" s="12">
        <v>9</v>
      </c>
      <c r="C105" s="12">
        <v>28.9</v>
      </c>
      <c r="D105" s="12">
        <v>99.3</v>
      </c>
      <c r="E105" s="12">
        <v>298.60000000000002</v>
      </c>
      <c r="F105" s="12">
        <v>69.600009999999997</v>
      </c>
      <c r="G105" s="12">
        <v>504.6</v>
      </c>
      <c r="H105" s="12">
        <v>242.4</v>
      </c>
      <c r="I105" s="12">
        <v>117.3</v>
      </c>
      <c r="J105" s="12">
        <v>107</v>
      </c>
      <c r="K105" s="12">
        <v>111.1</v>
      </c>
      <c r="L105" s="12">
        <v>79.599999999999994</v>
      </c>
      <c r="M105" s="12">
        <v>61.9</v>
      </c>
      <c r="N105" s="11">
        <f t="shared" si="8"/>
        <v>467.50001000000003</v>
      </c>
      <c r="O105" s="11">
        <f t="shared" si="5"/>
        <v>864.3</v>
      </c>
      <c r="P105" s="11">
        <f t="shared" si="6"/>
        <v>297.7</v>
      </c>
      <c r="Q105" s="11">
        <f t="shared" si="7"/>
        <v>118.6</v>
      </c>
    </row>
    <row r="106" spans="1:17" x14ac:dyDescent="0.25">
      <c r="A106">
        <v>2005</v>
      </c>
      <c r="B106" s="12">
        <v>31.4</v>
      </c>
      <c r="C106" s="12">
        <v>25.3</v>
      </c>
      <c r="D106" s="12">
        <v>165.2</v>
      </c>
      <c r="E106" s="12">
        <v>52.9</v>
      </c>
      <c r="F106" s="12">
        <v>343.2</v>
      </c>
      <c r="G106" s="12">
        <v>328.3</v>
      </c>
      <c r="H106" s="12">
        <v>160.30000000000001</v>
      </c>
      <c r="I106" s="12">
        <v>203</v>
      </c>
      <c r="J106" s="12">
        <v>59.7</v>
      </c>
      <c r="K106" s="12">
        <v>67.400000000000006</v>
      </c>
      <c r="L106" s="12">
        <v>175.9</v>
      </c>
      <c r="M106" s="12">
        <v>49.6</v>
      </c>
      <c r="N106" s="11">
        <f t="shared" si="8"/>
        <v>561.29999999999995</v>
      </c>
      <c r="O106" s="11">
        <f t="shared" si="5"/>
        <v>691.6</v>
      </c>
      <c r="P106" s="11">
        <f t="shared" si="6"/>
        <v>303</v>
      </c>
      <c r="Q106" s="11">
        <f t="shared" si="7"/>
        <v>242.5</v>
      </c>
    </row>
    <row r="107" spans="1:17" x14ac:dyDescent="0.25">
      <c r="A107">
        <v>2006</v>
      </c>
      <c r="B107" s="12">
        <v>123.2</v>
      </c>
      <c r="C107" s="12">
        <v>69.7</v>
      </c>
      <c r="D107" s="12">
        <v>124</v>
      </c>
      <c r="E107" s="12">
        <v>163</v>
      </c>
      <c r="F107" s="12">
        <v>114.2</v>
      </c>
      <c r="G107" s="12">
        <v>349.7</v>
      </c>
      <c r="H107" s="12">
        <v>321.60000000000002</v>
      </c>
      <c r="I107" s="12">
        <v>170.6</v>
      </c>
      <c r="J107" s="12">
        <v>128.19999999999999</v>
      </c>
      <c r="K107" s="12">
        <v>93</v>
      </c>
      <c r="L107" s="12">
        <v>56.9</v>
      </c>
      <c r="M107" s="12">
        <v>167.8</v>
      </c>
      <c r="N107" s="11">
        <f t="shared" si="8"/>
        <v>401.2</v>
      </c>
      <c r="O107" s="11">
        <f t="shared" si="5"/>
        <v>841.9</v>
      </c>
      <c r="P107" s="11">
        <f t="shared" si="6"/>
        <v>278.09999999999997</v>
      </c>
      <c r="Q107" s="11">
        <f t="shared" si="7"/>
        <v>267.5</v>
      </c>
    </row>
    <row r="108" spans="1:17" x14ac:dyDescent="0.25">
      <c r="A108">
        <v>2007</v>
      </c>
      <c r="B108" s="12">
        <v>38.799999999999997</v>
      </c>
      <c r="C108" s="12">
        <v>60.9</v>
      </c>
      <c r="D108" s="12">
        <v>103.1</v>
      </c>
      <c r="E108" s="12">
        <v>143.4</v>
      </c>
      <c r="F108" s="12">
        <v>61.700009999999999</v>
      </c>
      <c r="G108" s="12">
        <v>177.3</v>
      </c>
      <c r="H108" s="12">
        <v>201.6</v>
      </c>
      <c r="I108" s="12">
        <v>121</v>
      </c>
      <c r="J108" s="12">
        <v>132</v>
      </c>
      <c r="K108" s="12">
        <v>99.2</v>
      </c>
      <c r="L108" s="12">
        <v>32.299999999999997</v>
      </c>
      <c r="M108" s="12">
        <v>43.3</v>
      </c>
      <c r="N108" s="11">
        <f t="shared" si="8"/>
        <v>308.20001000000002</v>
      </c>
      <c r="O108" s="11">
        <f t="shared" si="5"/>
        <v>499.9</v>
      </c>
      <c r="P108" s="11">
        <f t="shared" si="6"/>
        <v>263.5</v>
      </c>
      <c r="Q108" s="11">
        <f t="shared" si="7"/>
        <v>118.30000000000001</v>
      </c>
    </row>
    <row r="109" spans="1:17" x14ac:dyDescent="0.25">
      <c r="A109">
        <v>2008</v>
      </c>
      <c r="B109" s="12">
        <v>52.6</v>
      </c>
      <c r="C109" s="12">
        <v>22.4</v>
      </c>
      <c r="D109" s="12">
        <v>55.7</v>
      </c>
      <c r="E109" s="12">
        <v>80.099999999999994</v>
      </c>
      <c r="F109" s="12">
        <v>317.5</v>
      </c>
      <c r="G109" s="12">
        <v>162</v>
      </c>
      <c r="H109" s="12">
        <v>290.2</v>
      </c>
      <c r="I109" s="12">
        <v>312.2</v>
      </c>
      <c r="J109" s="12">
        <v>40.200000000000003</v>
      </c>
      <c r="K109" s="12">
        <v>29.9</v>
      </c>
      <c r="L109" s="12">
        <v>86.5</v>
      </c>
      <c r="M109" s="12">
        <v>35.4</v>
      </c>
      <c r="N109" s="11">
        <f t="shared" si="8"/>
        <v>453.3</v>
      </c>
      <c r="O109" s="11">
        <f t="shared" si="5"/>
        <v>764.4</v>
      </c>
      <c r="P109" s="11">
        <f t="shared" si="6"/>
        <v>156.6</v>
      </c>
      <c r="Q109" s="11">
        <f t="shared" si="7"/>
        <v>96.4</v>
      </c>
    </row>
    <row r="110" spans="1:17" x14ac:dyDescent="0.25">
      <c r="A110">
        <v>2009</v>
      </c>
      <c r="B110" s="12">
        <v>14.8</v>
      </c>
      <c r="C110" s="12">
        <v>46.2</v>
      </c>
      <c r="D110" s="12">
        <v>68.900000000000006</v>
      </c>
      <c r="E110" s="12">
        <v>126.3</v>
      </c>
      <c r="F110" s="12">
        <v>331.9</v>
      </c>
      <c r="G110" s="12">
        <v>204</v>
      </c>
      <c r="H110" s="12">
        <v>97.2</v>
      </c>
      <c r="I110" s="12">
        <v>311.39999999999998</v>
      </c>
      <c r="J110" s="12">
        <v>59.8</v>
      </c>
      <c r="K110" s="12">
        <v>154.80000000000001</v>
      </c>
      <c r="L110" s="12">
        <v>133.1</v>
      </c>
      <c r="M110" s="12">
        <v>81.900000000000006</v>
      </c>
      <c r="N110" s="11">
        <f t="shared" si="8"/>
        <v>527.09999999999991</v>
      </c>
      <c r="O110" s="11">
        <f t="shared" si="5"/>
        <v>612.59999999999991</v>
      </c>
      <c r="P110" s="11">
        <f t="shared" si="6"/>
        <v>347.70000000000005</v>
      </c>
      <c r="Q110" s="11">
        <f t="shared" si="7"/>
        <v>194.60000000000002</v>
      </c>
    </row>
    <row r="111" spans="1:17" x14ac:dyDescent="0.25">
      <c r="A111">
        <v>2010</v>
      </c>
      <c r="B111" s="12">
        <v>31</v>
      </c>
      <c r="C111" s="12">
        <v>81.7</v>
      </c>
      <c r="D111" s="12">
        <v>104.7</v>
      </c>
      <c r="E111" s="12">
        <v>48.2</v>
      </c>
      <c r="F111" s="12">
        <v>68.000020000000006</v>
      </c>
      <c r="G111" s="12">
        <v>308.5</v>
      </c>
      <c r="H111" s="12">
        <v>149.1</v>
      </c>
      <c r="I111" s="12">
        <v>184.7</v>
      </c>
      <c r="J111" s="12">
        <v>38.299999999999997</v>
      </c>
      <c r="K111" s="12">
        <v>48.4</v>
      </c>
      <c r="L111" s="12">
        <v>70.900000000000006</v>
      </c>
      <c r="M111" s="12">
        <v>92.6</v>
      </c>
      <c r="N111" s="11">
        <f t="shared" si="8"/>
        <v>220.90002000000001</v>
      </c>
      <c r="O111" s="11">
        <f t="shared" si="5"/>
        <v>642.29999999999995</v>
      </c>
      <c r="P111" s="11">
        <f t="shared" si="6"/>
        <v>157.6</v>
      </c>
      <c r="Q111" s="11">
        <f t="shared" si="7"/>
        <v>165.4</v>
      </c>
    </row>
    <row r="112" spans="1:17" x14ac:dyDescent="0.25">
      <c r="A112">
        <v>2011</v>
      </c>
      <c r="B112" s="12">
        <v>48</v>
      </c>
      <c r="C112" s="12">
        <v>24.8</v>
      </c>
      <c r="D112" s="12">
        <v>147.30000000000001</v>
      </c>
      <c r="E112" s="12">
        <v>143.6</v>
      </c>
      <c r="F112" s="12">
        <v>84.5</v>
      </c>
      <c r="G112" s="12">
        <v>185.2</v>
      </c>
      <c r="H112" s="12">
        <v>168.9</v>
      </c>
      <c r="I112" s="12">
        <v>179.9</v>
      </c>
      <c r="J112" s="12">
        <v>140.6</v>
      </c>
      <c r="K112" s="12">
        <v>36</v>
      </c>
      <c r="L112" s="12">
        <v>59.2</v>
      </c>
      <c r="M112" s="12">
        <v>17.3</v>
      </c>
      <c r="N112" s="11">
        <f t="shared" si="8"/>
        <v>375.4</v>
      </c>
      <c r="O112" s="11">
        <f t="shared" si="5"/>
        <v>534</v>
      </c>
      <c r="P112" s="11">
        <f t="shared" si="6"/>
        <v>235.8</v>
      </c>
      <c r="Q112" s="11">
        <f t="shared" si="7"/>
        <v>226.6</v>
      </c>
    </row>
    <row r="113" spans="1:17" x14ac:dyDescent="0.25">
      <c r="A113">
        <v>2012</v>
      </c>
      <c r="B113" s="12">
        <v>63.6</v>
      </c>
      <c r="C113" s="12">
        <v>145.69999999999999</v>
      </c>
      <c r="D113" s="12">
        <v>51.8</v>
      </c>
      <c r="E113" s="12">
        <v>40.4</v>
      </c>
      <c r="F113" s="12">
        <v>198.6</v>
      </c>
      <c r="G113" s="12">
        <v>319.5</v>
      </c>
      <c r="H113" s="12">
        <v>128.80000000000001</v>
      </c>
      <c r="I113" s="12">
        <v>136.4</v>
      </c>
      <c r="J113" s="12">
        <v>69.2</v>
      </c>
      <c r="K113" s="12">
        <v>26.4</v>
      </c>
      <c r="L113" s="12">
        <v>22.5</v>
      </c>
      <c r="M113" s="12">
        <v>191.7</v>
      </c>
      <c r="N113" s="11">
        <f t="shared" si="8"/>
        <v>290.79999999999995</v>
      </c>
      <c r="O113" s="11">
        <f t="shared" si="5"/>
        <v>584.70000000000005</v>
      </c>
      <c r="P113" s="11">
        <f t="shared" si="6"/>
        <v>118.1</v>
      </c>
      <c r="Q113" s="11">
        <f t="shared" si="7"/>
        <v>302.2</v>
      </c>
    </row>
    <row r="114" spans="1:17" x14ac:dyDescent="0.25">
      <c r="A114">
        <v>2013</v>
      </c>
      <c r="B114" s="12">
        <v>20.7</v>
      </c>
      <c r="C114" s="12">
        <v>89.8</v>
      </c>
      <c r="D114" s="12">
        <v>78.899990000000003</v>
      </c>
      <c r="E114" s="12">
        <v>102.7</v>
      </c>
      <c r="F114" s="12">
        <v>181.2</v>
      </c>
      <c r="G114" s="12">
        <v>163.80000000000001</v>
      </c>
      <c r="H114" s="12">
        <v>169.2</v>
      </c>
      <c r="I114" s="12">
        <v>208.3</v>
      </c>
      <c r="J114" s="12">
        <v>139.1</v>
      </c>
      <c r="K114" s="12">
        <v>24.4</v>
      </c>
      <c r="L114" s="12">
        <v>54.5</v>
      </c>
      <c r="M114" s="12">
        <v>31.1</v>
      </c>
      <c r="N114" s="11">
        <f t="shared" si="8"/>
        <v>362.79998999999998</v>
      </c>
      <c r="O114" s="11">
        <f t="shared" si="5"/>
        <v>541.29999999999995</v>
      </c>
      <c r="P114" s="11">
        <f t="shared" si="6"/>
        <v>218</v>
      </c>
      <c r="Q114" s="11">
        <f t="shared" si="7"/>
        <v>125.6</v>
      </c>
    </row>
    <row r="115" spans="1:17" x14ac:dyDescent="0.25">
      <c r="A115">
        <v>2014</v>
      </c>
      <c r="B115" s="12">
        <v>65</v>
      </c>
      <c r="C115" s="12">
        <v>29.5</v>
      </c>
      <c r="D115" s="12">
        <v>115.5</v>
      </c>
      <c r="E115" s="12">
        <v>127.9</v>
      </c>
      <c r="F115" s="12">
        <v>173.3</v>
      </c>
      <c r="G115" s="12">
        <v>243.9</v>
      </c>
      <c r="H115" s="12">
        <v>200.4</v>
      </c>
      <c r="I115" s="12">
        <v>151.69999999999999</v>
      </c>
      <c r="J115" s="12">
        <v>125.5</v>
      </c>
      <c r="K115" s="12">
        <v>63</v>
      </c>
      <c r="L115" s="12">
        <v>62.4</v>
      </c>
      <c r="M115" s="12">
        <v>24.7</v>
      </c>
      <c r="N115" s="11">
        <f t="shared" si="8"/>
        <v>416.70000000000005</v>
      </c>
      <c r="O115" s="11">
        <f t="shared" si="5"/>
        <v>596</v>
      </c>
      <c r="P115" s="11">
        <f t="shared" si="6"/>
        <v>250.9</v>
      </c>
      <c r="Q115" s="11">
        <f t="shared" si="7"/>
        <v>41.2</v>
      </c>
    </row>
    <row r="116" spans="1:17" x14ac:dyDescent="0.25">
      <c r="A116">
        <v>2015</v>
      </c>
      <c r="B116" s="12">
        <v>1</v>
      </c>
      <c r="C116" s="12">
        <v>15.5</v>
      </c>
      <c r="D116" s="12">
        <v>33.4</v>
      </c>
      <c r="E116" s="12">
        <v>83</v>
      </c>
      <c r="F116" s="12">
        <v>235.7</v>
      </c>
      <c r="G116" s="12">
        <v>289.8</v>
      </c>
      <c r="H116" s="12">
        <v>267.89999999999998</v>
      </c>
      <c r="I116" s="12">
        <v>261.7</v>
      </c>
      <c r="J116" s="12">
        <v>78.2</v>
      </c>
      <c r="K116" s="12">
        <v>32.5</v>
      </c>
      <c r="L116" s="12">
        <v>56.9</v>
      </c>
      <c r="M116" s="12">
        <v>50.7</v>
      </c>
      <c r="N116" s="11">
        <f t="shared" si="8"/>
        <v>352.1</v>
      </c>
      <c r="O116" s="11">
        <f t="shared" si="5"/>
        <v>819.40000000000009</v>
      </c>
      <c r="P116" s="11">
        <f t="shared" si="6"/>
        <v>167.6</v>
      </c>
      <c r="Q116" s="11">
        <f t="shared" si="7"/>
        <v>109.2</v>
      </c>
    </row>
    <row r="117" spans="1:17" x14ac:dyDescent="0.25">
      <c r="A117">
        <v>2016</v>
      </c>
      <c r="B117" s="12">
        <v>11.8</v>
      </c>
      <c r="C117" s="12">
        <v>46.7</v>
      </c>
      <c r="D117" s="12">
        <v>32.700000000000003</v>
      </c>
      <c r="E117" s="12">
        <v>101.1</v>
      </c>
      <c r="F117" s="12">
        <v>85.2</v>
      </c>
      <c r="G117" s="12">
        <v>51.099989999999998</v>
      </c>
      <c r="H117" s="12">
        <v>136.1</v>
      </c>
      <c r="I117" s="12">
        <v>210.1</v>
      </c>
      <c r="J117" s="12">
        <v>58.6</v>
      </c>
      <c r="K117" s="12">
        <v>121.9</v>
      </c>
      <c r="L117" s="12">
        <v>61.5</v>
      </c>
      <c r="M117" s="12">
        <v>59.2</v>
      </c>
      <c r="N117" s="11">
        <f t="shared" si="8"/>
        <v>219</v>
      </c>
      <c r="O117" s="11">
        <f t="shared" si="5"/>
        <v>397.29998999999998</v>
      </c>
      <c r="P117" s="11">
        <f t="shared" si="6"/>
        <v>242</v>
      </c>
      <c r="Q117" s="11">
        <f t="shared" si="7"/>
        <v>203.60000000000002</v>
      </c>
    </row>
    <row r="118" spans="1:17" x14ac:dyDescent="0.25">
      <c r="A118">
        <v>2017</v>
      </c>
      <c r="B118" s="12">
        <v>48.7</v>
      </c>
      <c r="C118" s="12">
        <v>95.7</v>
      </c>
      <c r="D118" s="12">
        <v>90.899990000000003</v>
      </c>
      <c r="E118" s="12">
        <v>82.6</v>
      </c>
      <c r="F118" s="12">
        <v>122.6</v>
      </c>
      <c r="G118" s="12">
        <v>250.1</v>
      </c>
      <c r="H118" s="12">
        <v>113.4</v>
      </c>
      <c r="I118" s="12">
        <v>271.3</v>
      </c>
      <c r="J118" s="12">
        <v>56.1</v>
      </c>
      <c r="K118" s="12">
        <v>121.2</v>
      </c>
      <c r="L118" s="12">
        <v>32.4</v>
      </c>
      <c r="M118" s="12">
        <v>89.700010000000006</v>
      </c>
      <c r="N118" s="11">
        <f t="shared" si="8"/>
        <v>296.09998999999999</v>
      </c>
      <c r="O118" s="11">
        <f t="shared" si="5"/>
        <v>634.79999999999995</v>
      </c>
      <c r="P118" s="11">
        <f t="shared" si="6"/>
        <v>209.70000000000002</v>
      </c>
      <c r="Q118" s="11">
        <f t="shared" si="7"/>
        <v>151.20000999999999</v>
      </c>
    </row>
    <row r="119" spans="1:17" x14ac:dyDescent="0.25">
      <c r="A119">
        <v>2018</v>
      </c>
      <c r="B119" s="12">
        <v>32.799999999999997</v>
      </c>
      <c r="C119" s="12">
        <v>28.7</v>
      </c>
      <c r="D119" s="12">
        <v>150.30000000000001</v>
      </c>
      <c r="E119" s="12">
        <v>164.2</v>
      </c>
      <c r="F119" s="12">
        <v>94.900009999999995</v>
      </c>
      <c r="G119" s="12">
        <v>214.6</v>
      </c>
      <c r="H119" s="12">
        <v>104.2</v>
      </c>
      <c r="I119" s="12">
        <v>138.1</v>
      </c>
      <c r="J119" s="12">
        <v>152.80000000000001</v>
      </c>
      <c r="K119" s="12">
        <v>79.3</v>
      </c>
      <c r="L119" s="12">
        <v>134.19999999999999</v>
      </c>
      <c r="M119" s="12">
        <v>32.6</v>
      </c>
      <c r="N119" s="11">
        <f t="shared" si="8"/>
        <v>409.40001000000001</v>
      </c>
      <c r="O119" s="11">
        <f t="shared" si="5"/>
        <v>456.9</v>
      </c>
      <c r="P119" s="11">
        <f t="shared" si="6"/>
        <v>366.3</v>
      </c>
      <c r="Q119" s="11">
        <f t="shared" si="7"/>
        <v>60.5</v>
      </c>
    </row>
    <row r="120" spans="1:17" x14ac:dyDescent="0.25">
      <c r="A120">
        <v>2019</v>
      </c>
      <c r="B120" s="12">
        <v>12.9</v>
      </c>
      <c r="C120" s="12">
        <v>15</v>
      </c>
      <c r="D120" s="12">
        <v>40.6</v>
      </c>
      <c r="E120" s="12">
        <v>52.600009999999997</v>
      </c>
      <c r="F120" s="12">
        <v>150.9</v>
      </c>
      <c r="G120" s="12">
        <v>258</v>
      </c>
      <c r="H120" s="12">
        <v>227.1</v>
      </c>
      <c r="I120" s="12">
        <v>119.7</v>
      </c>
      <c r="J120" s="12">
        <v>39.899990000000003</v>
      </c>
      <c r="K120" s="12">
        <v>44.4</v>
      </c>
      <c r="L120" s="12">
        <v>67.7</v>
      </c>
      <c r="M120" s="12">
        <v>19.399999999999999</v>
      </c>
      <c r="N120">
        <f t="shared" si="8"/>
        <v>244.10001</v>
      </c>
      <c r="O120">
        <f t="shared" si="5"/>
        <v>604.80000000000007</v>
      </c>
      <c r="P120">
        <f t="shared" si="6"/>
        <v>151.99999000000003</v>
      </c>
      <c r="Q120">
        <f t="shared" si="7"/>
        <v>108.3</v>
      </c>
    </row>
    <row r="121" spans="1:17" x14ac:dyDescent="0.25">
      <c r="A121">
        <v>2020</v>
      </c>
      <c r="B121" s="12">
        <v>50.1</v>
      </c>
      <c r="C121" s="12">
        <v>38.799999999999997</v>
      </c>
      <c r="D121" s="12">
        <v>41.4</v>
      </c>
      <c r="E121" s="12">
        <v>80.700010000000006</v>
      </c>
      <c r="F121" s="12">
        <v>168.6</v>
      </c>
      <c r="G121" s="12">
        <v>270.2</v>
      </c>
      <c r="H121" s="12">
        <v>247.5</v>
      </c>
      <c r="I121" s="12">
        <v>104.8</v>
      </c>
      <c r="J121" s="12">
        <v>52.4</v>
      </c>
      <c r="K121" s="12">
        <v>25.5</v>
      </c>
      <c r="L121" s="12">
        <v>33.700000000000003</v>
      </c>
      <c r="M121" s="12">
        <v>49.8</v>
      </c>
      <c r="N121">
        <f t="shared" si="8"/>
        <v>290.70001000000002</v>
      </c>
      <c r="O121">
        <f t="shared" si="5"/>
        <v>622.5</v>
      </c>
      <c r="P121">
        <f t="shared" si="6"/>
        <v>111.60000000000001</v>
      </c>
      <c r="Q121">
        <f t="shared" si="7"/>
        <v>76.399996999999985</v>
      </c>
    </row>
    <row r="122" spans="1:17" x14ac:dyDescent="0.25">
      <c r="A122">
        <v>2021</v>
      </c>
      <c r="B122" s="12">
        <v>22.4</v>
      </c>
      <c r="C122" s="12">
        <v>4.1999969999999998</v>
      </c>
      <c r="D122" s="12">
        <v>77.599999999999994</v>
      </c>
      <c r="E122" s="12">
        <v>70.3</v>
      </c>
      <c r="F122" s="12">
        <v>112.3</v>
      </c>
      <c r="G122" s="12">
        <v>168.7</v>
      </c>
      <c r="H122" s="12">
        <v>70.7</v>
      </c>
      <c r="I122" s="12">
        <v>164.2</v>
      </c>
      <c r="J122" s="12">
        <v>38.700000000000003</v>
      </c>
      <c r="K122" s="12">
        <v>31.4</v>
      </c>
      <c r="L122" s="12">
        <v>55.5</v>
      </c>
      <c r="M122" s="12">
        <v>29.6</v>
      </c>
      <c r="N122">
        <f t="shared" si="8"/>
        <v>260.2</v>
      </c>
      <c r="O122">
        <f t="shared" si="5"/>
        <v>403.59999999999997</v>
      </c>
      <c r="P122">
        <f t="shared" si="6"/>
        <v>125.6</v>
      </c>
      <c r="Q122" t="str">
        <f t="shared" si="7"/>
        <v/>
      </c>
    </row>
    <row r="123" spans="1:17" x14ac:dyDescent="0.25">
      <c r="A123">
        <v>2022</v>
      </c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t="str">
        <f t="shared" si="8"/>
        <v/>
      </c>
      <c r="O123" t="str">
        <f t="shared" si="5"/>
        <v/>
      </c>
      <c r="P123" t="str">
        <f t="shared" si="6"/>
        <v/>
      </c>
      <c r="Q123" t="str">
        <f t="shared" si="7"/>
        <v/>
      </c>
    </row>
    <row r="124" spans="1:17" x14ac:dyDescent="0.25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406EC-F33F-4C7F-A1A8-E7E2AF2795A7}">
  <dimension ref="A1:Q123"/>
  <sheetViews>
    <sheetView zoomScale="70" zoomScaleNormal="70" workbookViewId="0"/>
  </sheetViews>
  <sheetFormatPr defaultColWidth="11" defaultRowHeight="15" x14ac:dyDescent="0.25"/>
  <cols>
    <col min="2" max="4" width="5" bestFit="1" customWidth="1"/>
    <col min="5" max="5" width="4" bestFit="1" customWidth="1"/>
    <col min="6" max="6" width="4.5703125" bestFit="1" customWidth="1"/>
    <col min="7" max="7" width="4" bestFit="1" customWidth="1"/>
    <col min="8" max="8" width="5" bestFit="1" customWidth="1"/>
    <col min="9" max="10" width="4" bestFit="1" customWidth="1"/>
    <col min="11" max="13" width="5" bestFit="1" customWidth="1"/>
    <col min="14" max="17" width="12" bestFit="1" customWidth="1"/>
  </cols>
  <sheetData>
    <row r="1" spans="1:17" x14ac:dyDescent="0.25">
      <c r="A1" s="1" t="s">
        <v>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</row>
    <row r="3" spans="1:17" x14ac:dyDescent="0.25">
      <c r="A3">
        <v>1902</v>
      </c>
      <c r="B3">
        <v>2.522929</v>
      </c>
      <c r="C3">
        <v>2.7324290000000002</v>
      </c>
      <c r="D3">
        <v>3.4082270000000001</v>
      </c>
      <c r="E3">
        <v>4.6239290000000004</v>
      </c>
      <c r="F3">
        <v>7.0074540000000001</v>
      </c>
      <c r="G3">
        <v>7.005611</v>
      </c>
      <c r="H3">
        <v>6.2059579999999999</v>
      </c>
      <c r="I3">
        <v>-6.2012970000000001E-2</v>
      </c>
      <c r="J3">
        <v>-0.21082210000000001</v>
      </c>
      <c r="K3">
        <v>-0.50900749999999995</v>
      </c>
      <c r="L3">
        <v>-0.20172799999999999</v>
      </c>
      <c r="M3">
        <v>-0.45911560000000001</v>
      </c>
      <c r="N3" s="11">
        <f t="shared" ref="N3:N31" si="0">IF(AND(ISNUMBER(D3),ISNUMBER(E3),ISNUMBER(F3)),AVERAGE(D3:F3),"")</f>
        <v>5.0132033333333332</v>
      </c>
      <c r="O3" s="11">
        <f t="shared" ref="O3:O31" si="1">IF(AND(ISNUMBER(G3),ISNUMBER(H3),ISNUMBER(I3)),AVERAGE(G3:I3),"")</f>
        <v>4.3831853433333334</v>
      </c>
      <c r="P3" s="11">
        <f t="shared" ref="P3:P31" si="2">IF(AND(ISNUMBER(J3),ISNUMBER(K3),ISNUMBER(L3)),AVERAGE(J3:L3),"")</f>
        <v>-0.30718586666666664</v>
      </c>
      <c r="Q3" s="11">
        <f t="shared" ref="Q3:Q31" si="3">IF(AND(ISNUMBER(M3),ISNUMBER(B4),ISNUMBER(C4)),AVERAGE(M3,B4:C4),"")</f>
        <v>-0.60167483333333338</v>
      </c>
    </row>
    <row r="4" spans="1:17" x14ac:dyDescent="0.25">
      <c r="A4">
        <v>1903</v>
      </c>
      <c r="B4">
        <v>-0.64473749999999996</v>
      </c>
      <c r="C4">
        <v>-0.7011714</v>
      </c>
      <c r="D4">
        <v>-0.41007710000000003</v>
      </c>
      <c r="E4">
        <v>-0.3946404</v>
      </c>
      <c r="F4">
        <v>-1.083556</v>
      </c>
      <c r="G4">
        <v>-0.75115319999999997</v>
      </c>
      <c r="H4">
        <v>-1.297452</v>
      </c>
      <c r="I4">
        <v>-1.270513</v>
      </c>
      <c r="J4">
        <v>-1.3486260000000001</v>
      </c>
      <c r="K4">
        <v>-1.3884069999999999</v>
      </c>
      <c r="L4">
        <v>-1.391996</v>
      </c>
      <c r="M4">
        <v>-1.0208440000000001</v>
      </c>
      <c r="N4" s="11">
        <f t="shared" si="0"/>
        <v>-0.62942449999999994</v>
      </c>
      <c r="O4" s="11">
        <f t="shared" si="1"/>
        <v>-1.1063727333333333</v>
      </c>
      <c r="P4" s="11">
        <f t="shared" si="2"/>
        <v>-1.3763430000000001</v>
      </c>
      <c r="Q4" s="11">
        <f t="shared" si="3"/>
        <v>-1.1888000000000003</v>
      </c>
    </row>
    <row r="5" spans="1:17" x14ac:dyDescent="0.25">
      <c r="A5">
        <v>1904</v>
      </c>
      <c r="B5">
        <v>-1.1372640000000001</v>
      </c>
      <c r="C5">
        <v>-1.4082920000000001</v>
      </c>
      <c r="D5">
        <v>-1.3822859999999999</v>
      </c>
      <c r="E5">
        <v>0.31541970000000003</v>
      </c>
      <c r="F5">
        <v>0.17011899999999999</v>
      </c>
      <c r="G5">
        <v>0.98587809999999998</v>
      </c>
      <c r="H5">
        <v>2.736504</v>
      </c>
      <c r="I5">
        <v>1.996847</v>
      </c>
      <c r="J5">
        <v>3.9331360000000002</v>
      </c>
      <c r="K5">
        <v>3.5542880000000001</v>
      </c>
      <c r="L5">
        <v>3.1194890000000002</v>
      </c>
      <c r="M5">
        <v>-2.001706E-2</v>
      </c>
      <c r="N5" s="11">
        <f t="shared" si="0"/>
        <v>-0.29891576666666658</v>
      </c>
      <c r="O5" s="11">
        <f t="shared" si="1"/>
        <v>1.9064097</v>
      </c>
      <c r="P5" s="11">
        <f t="shared" si="2"/>
        <v>3.5356376666666667</v>
      </c>
      <c r="Q5" s="11">
        <f t="shared" si="3"/>
        <v>-0.56018072000000008</v>
      </c>
    </row>
    <row r="6" spans="1:17" x14ac:dyDescent="0.25">
      <c r="A6">
        <v>1905</v>
      </c>
      <c r="B6">
        <v>-0.50634310000000005</v>
      </c>
      <c r="C6">
        <v>-1.154182</v>
      </c>
      <c r="D6">
        <v>-0.8601588</v>
      </c>
      <c r="E6">
        <v>-0.52289330000000001</v>
      </c>
      <c r="F6">
        <v>-1.5786560000000001</v>
      </c>
      <c r="G6">
        <v>0.43833040000000001</v>
      </c>
      <c r="H6">
        <v>-0.42929109999999998</v>
      </c>
      <c r="I6">
        <v>1.3466469999999999</v>
      </c>
      <c r="J6">
        <v>1.1274120000000001</v>
      </c>
      <c r="K6">
        <v>2.0638540000000001</v>
      </c>
      <c r="L6">
        <v>1.3734</v>
      </c>
      <c r="M6">
        <v>1.139594</v>
      </c>
      <c r="N6" s="11">
        <f t="shared" si="0"/>
        <v>-0.98723603333333332</v>
      </c>
      <c r="O6" s="11">
        <f t="shared" si="1"/>
        <v>0.45189543333333332</v>
      </c>
      <c r="P6" s="11">
        <f t="shared" si="2"/>
        <v>1.5215553333333334</v>
      </c>
      <c r="Q6" s="11">
        <f t="shared" si="3"/>
        <v>1.0575033333333332</v>
      </c>
    </row>
    <row r="7" spans="1:17" x14ac:dyDescent="0.25">
      <c r="A7">
        <v>1906</v>
      </c>
      <c r="B7">
        <v>1.013895</v>
      </c>
      <c r="C7">
        <v>1.019021</v>
      </c>
      <c r="D7">
        <v>1.159154</v>
      </c>
      <c r="E7">
        <v>1.7693950000000001</v>
      </c>
      <c r="F7">
        <v>1.9392370000000001</v>
      </c>
      <c r="G7">
        <v>1.852687</v>
      </c>
      <c r="H7">
        <v>-0.58240219999999998</v>
      </c>
      <c r="I7">
        <v>-1.048106</v>
      </c>
      <c r="J7">
        <v>-0.96630400000000005</v>
      </c>
      <c r="K7">
        <v>-1.176291</v>
      </c>
      <c r="L7">
        <v>-1.912668</v>
      </c>
      <c r="M7">
        <v>-2.1290640000000001</v>
      </c>
      <c r="N7" s="11">
        <f t="shared" si="0"/>
        <v>1.6225953333333336</v>
      </c>
      <c r="O7" s="11">
        <f t="shared" si="1"/>
        <v>7.4059600000000003E-2</v>
      </c>
      <c r="P7" s="11">
        <f t="shared" si="2"/>
        <v>-1.3517543333333333</v>
      </c>
      <c r="Q7" s="11">
        <f t="shared" si="3"/>
        <v>-2.2545459999999999</v>
      </c>
    </row>
    <row r="8" spans="1:17" x14ac:dyDescent="0.25">
      <c r="A8">
        <v>1907</v>
      </c>
      <c r="B8">
        <v>-2.4858989999999999</v>
      </c>
      <c r="C8">
        <v>-2.1486749999999999</v>
      </c>
      <c r="D8">
        <v>-2.4944030000000001</v>
      </c>
      <c r="E8">
        <v>-2.5823839999999998</v>
      </c>
      <c r="F8">
        <v>-3.1201699999999999</v>
      </c>
      <c r="G8">
        <v>-2.293593</v>
      </c>
      <c r="H8">
        <v>-2.6554530000000001</v>
      </c>
      <c r="I8">
        <v>-2.463686</v>
      </c>
      <c r="J8">
        <v>-1.960888</v>
      </c>
      <c r="K8">
        <v>-1.629108</v>
      </c>
      <c r="L8">
        <v>-1.985751</v>
      </c>
      <c r="M8">
        <v>-1.5068520000000001</v>
      </c>
      <c r="N8" s="11">
        <f t="shared" si="0"/>
        <v>-2.7323189999999999</v>
      </c>
      <c r="O8" s="11">
        <f t="shared" si="1"/>
        <v>-2.4709106666666667</v>
      </c>
      <c r="P8" s="11">
        <f t="shared" si="2"/>
        <v>-1.8585823333333333</v>
      </c>
      <c r="Q8" s="11">
        <f t="shared" si="3"/>
        <v>-1.7384280000000001</v>
      </c>
    </row>
    <row r="9" spans="1:17" x14ac:dyDescent="0.25">
      <c r="A9">
        <v>1908</v>
      </c>
      <c r="B9">
        <v>-1.7860199999999999</v>
      </c>
      <c r="C9">
        <v>-1.922412</v>
      </c>
      <c r="D9">
        <v>0.12560979999999999</v>
      </c>
      <c r="E9">
        <v>0.94451980000000002</v>
      </c>
      <c r="F9">
        <v>1.1828510000000001</v>
      </c>
      <c r="G9">
        <v>1.1043799999999999</v>
      </c>
      <c r="H9">
        <v>-1.7125109999999999</v>
      </c>
      <c r="I9">
        <v>-1.5907750000000001</v>
      </c>
      <c r="J9">
        <v>-1.8269489999999999</v>
      </c>
      <c r="K9">
        <v>-1.446777</v>
      </c>
      <c r="L9">
        <v>-1.250294</v>
      </c>
      <c r="M9">
        <v>-1.244275</v>
      </c>
      <c r="N9" s="11">
        <f t="shared" si="0"/>
        <v>0.7509935333333333</v>
      </c>
      <c r="O9" s="11">
        <f t="shared" si="1"/>
        <v>-0.73296866666666671</v>
      </c>
      <c r="P9" s="11">
        <f t="shared" si="2"/>
        <v>-1.5080066666666667</v>
      </c>
      <c r="Q9" s="11">
        <f t="shared" si="3"/>
        <v>-1.4115209999999998</v>
      </c>
    </row>
    <row r="10" spans="1:17" x14ac:dyDescent="0.25">
      <c r="A10">
        <v>1909</v>
      </c>
      <c r="B10">
        <v>-1.386641</v>
      </c>
      <c r="C10">
        <v>-1.603647</v>
      </c>
      <c r="D10">
        <v>-2.200177</v>
      </c>
      <c r="E10">
        <v>-2.1268259999999999</v>
      </c>
      <c r="F10">
        <v>-2.9836269999999998</v>
      </c>
      <c r="G10">
        <v>-3.546243</v>
      </c>
      <c r="H10">
        <v>-4.3359480000000001</v>
      </c>
      <c r="I10">
        <v>-3.0967159999999998</v>
      </c>
      <c r="J10">
        <v>-3.778203</v>
      </c>
      <c r="K10">
        <v>-3.4867010000000001</v>
      </c>
      <c r="L10">
        <v>-3.3673739999999999</v>
      </c>
      <c r="M10">
        <v>-3.1603889999999999</v>
      </c>
      <c r="N10" s="11">
        <f t="shared" si="0"/>
        <v>-2.4368766666666666</v>
      </c>
      <c r="O10" s="11">
        <f t="shared" si="1"/>
        <v>-3.6596356666666665</v>
      </c>
      <c r="P10" s="11">
        <f t="shared" si="2"/>
        <v>-3.5440926666666663</v>
      </c>
      <c r="Q10" s="11">
        <f t="shared" si="3"/>
        <v>-2.6113979999999999</v>
      </c>
    </row>
    <row r="11" spans="1:17" x14ac:dyDescent="0.25">
      <c r="A11">
        <v>1910</v>
      </c>
      <c r="B11">
        <v>-2.6402429999999999</v>
      </c>
      <c r="C11">
        <v>-2.0335619999999999</v>
      </c>
      <c r="D11">
        <v>-2.5132249999999998</v>
      </c>
      <c r="E11">
        <v>-2.2548439999999998</v>
      </c>
      <c r="F11">
        <v>-2.6718980000000001</v>
      </c>
      <c r="G11">
        <v>-1.512267</v>
      </c>
      <c r="H11">
        <v>-1.795253</v>
      </c>
      <c r="I11">
        <v>-0.66033459999999999</v>
      </c>
      <c r="J11">
        <v>-1.407475</v>
      </c>
      <c r="K11">
        <v>-2.0242930000000001</v>
      </c>
      <c r="L11">
        <v>-1.816179</v>
      </c>
      <c r="M11">
        <v>-2.3319670000000001</v>
      </c>
      <c r="N11" s="11">
        <f t="shared" si="0"/>
        <v>-2.4799889999999998</v>
      </c>
      <c r="O11" s="11">
        <f t="shared" si="1"/>
        <v>-1.3226182000000002</v>
      </c>
      <c r="P11" s="11">
        <f t="shared" si="2"/>
        <v>-1.7493156666666667</v>
      </c>
      <c r="Q11" s="11">
        <f t="shared" si="3"/>
        <v>-2.3763749999999999</v>
      </c>
    </row>
    <row r="12" spans="1:17" x14ac:dyDescent="0.25">
      <c r="A12">
        <v>1911</v>
      </c>
      <c r="B12">
        <v>-2.2772039999999998</v>
      </c>
      <c r="C12">
        <v>-2.5199539999999998</v>
      </c>
      <c r="D12">
        <v>-3.1002860000000001</v>
      </c>
      <c r="E12">
        <v>-1.724329</v>
      </c>
      <c r="F12">
        <v>-1.190456</v>
      </c>
      <c r="G12">
        <v>-1.8263</v>
      </c>
      <c r="H12">
        <v>-2.591564</v>
      </c>
      <c r="I12">
        <v>-2.3665150000000001</v>
      </c>
      <c r="J12">
        <v>-2.20364</v>
      </c>
      <c r="K12">
        <v>-2.436512</v>
      </c>
      <c r="L12">
        <v>0.24463879999999999</v>
      </c>
      <c r="M12">
        <v>0.2711672</v>
      </c>
      <c r="N12" s="11">
        <f t="shared" si="0"/>
        <v>-2.0050236666666668</v>
      </c>
      <c r="O12" s="11">
        <f t="shared" si="1"/>
        <v>-2.2614596666666666</v>
      </c>
      <c r="P12" s="11">
        <f t="shared" si="2"/>
        <v>-1.4651710666666669</v>
      </c>
      <c r="Q12" s="11">
        <f t="shared" si="3"/>
        <v>0.36112590333333333</v>
      </c>
    </row>
    <row r="13" spans="1:17" x14ac:dyDescent="0.25">
      <c r="A13">
        <v>1912</v>
      </c>
      <c r="B13">
        <v>1.076411E-2</v>
      </c>
      <c r="C13">
        <v>0.8014464</v>
      </c>
      <c r="D13">
        <v>0.25682660000000002</v>
      </c>
      <c r="E13">
        <v>0.84719500000000003</v>
      </c>
      <c r="F13">
        <v>0.99826289999999995</v>
      </c>
      <c r="G13">
        <v>1.093091</v>
      </c>
      <c r="H13">
        <v>-1.4257359999999999</v>
      </c>
      <c r="I13">
        <v>-1.5289600000000001</v>
      </c>
      <c r="J13">
        <v>-2.461233</v>
      </c>
      <c r="K13">
        <v>-2.6422509999999999</v>
      </c>
      <c r="L13">
        <v>-2.3206319999999998</v>
      </c>
      <c r="M13">
        <v>-2.2032560000000001</v>
      </c>
      <c r="N13" s="11">
        <f t="shared" si="0"/>
        <v>0.70076150000000004</v>
      </c>
      <c r="O13" s="11">
        <f t="shared" si="1"/>
        <v>-0.62053499999999995</v>
      </c>
      <c r="P13" s="11">
        <f t="shared" si="2"/>
        <v>-2.4747053333333331</v>
      </c>
      <c r="Q13" s="11">
        <f t="shared" si="3"/>
        <v>-2.5451086666666671</v>
      </c>
    </row>
    <row r="14" spans="1:17" x14ac:dyDescent="0.25">
      <c r="A14">
        <v>1913</v>
      </c>
      <c r="B14">
        <v>-2.7566660000000001</v>
      </c>
      <c r="C14">
        <v>-2.6754039999999999</v>
      </c>
      <c r="D14">
        <v>-2.6028020000000001</v>
      </c>
      <c r="E14">
        <v>1.641456</v>
      </c>
      <c r="F14">
        <v>2.6139519999999998</v>
      </c>
      <c r="G14">
        <v>2.297704</v>
      </c>
      <c r="H14">
        <v>3.6586919999999998</v>
      </c>
      <c r="I14">
        <v>-0.86584320000000004</v>
      </c>
      <c r="J14">
        <v>-0.77837400000000001</v>
      </c>
      <c r="K14">
        <v>-0.96666629999999998</v>
      </c>
      <c r="L14">
        <v>-2.1007090000000002</v>
      </c>
      <c r="M14">
        <v>-2.3307699999999998</v>
      </c>
      <c r="N14" s="11">
        <f t="shared" si="0"/>
        <v>0.55086866666666656</v>
      </c>
      <c r="O14" s="11">
        <f t="shared" si="1"/>
        <v>1.696850933333333</v>
      </c>
      <c r="P14" s="11">
        <f t="shared" si="2"/>
        <v>-1.2819164333333333</v>
      </c>
      <c r="Q14" s="11">
        <f t="shared" si="3"/>
        <v>-2.1578413333333333</v>
      </c>
    </row>
    <row r="15" spans="1:17" x14ac:dyDescent="0.25">
      <c r="A15">
        <v>1914</v>
      </c>
      <c r="B15">
        <v>-1.8312729999999999</v>
      </c>
      <c r="C15">
        <v>-2.3114810000000001</v>
      </c>
      <c r="D15">
        <v>-2.7357909999999999</v>
      </c>
      <c r="E15">
        <v>-2.9170639999999999</v>
      </c>
      <c r="F15">
        <v>-2.8880379999999999</v>
      </c>
      <c r="G15">
        <v>0.94954090000000002</v>
      </c>
      <c r="H15">
        <v>0.89581109999999997</v>
      </c>
      <c r="I15">
        <v>0.31364570000000003</v>
      </c>
      <c r="J15">
        <v>1.183764</v>
      </c>
      <c r="K15">
        <v>0.65374670000000001</v>
      </c>
      <c r="L15">
        <v>1.3287150000000001</v>
      </c>
      <c r="M15">
        <v>-0.46658620000000001</v>
      </c>
      <c r="N15" s="11">
        <f t="shared" si="0"/>
        <v>-2.8469643333333337</v>
      </c>
      <c r="O15" s="11">
        <f t="shared" si="1"/>
        <v>0.71966589999999997</v>
      </c>
      <c r="P15" s="11">
        <f t="shared" si="2"/>
        <v>1.0554085666666666</v>
      </c>
      <c r="Q15" s="11">
        <f t="shared" si="3"/>
        <v>-0.69420206666666662</v>
      </c>
    </row>
    <row r="16" spans="1:17" x14ac:dyDescent="0.25">
      <c r="A16">
        <v>1915</v>
      </c>
      <c r="B16">
        <v>-0.9010804</v>
      </c>
      <c r="C16">
        <v>-0.71493960000000001</v>
      </c>
      <c r="D16">
        <v>-1.0397339999999999</v>
      </c>
      <c r="E16">
        <v>1.8795850000000001</v>
      </c>
      <c r="F16">
        <v>4.9729029999999996</v>
      </c>
      <c r="G16">
        <v>5.522907</v>
      </c>
      <c r="H16">
        <v>5.5496309999999998</v>
      </c>
      <c r="I16">
        <v>4.9939429999999998</v>
      </c>
      <c r="J16">
        <v>-0.84901530000000003</v>
      </c>
      <c r="K16">
        <v>-0.67704089999999995</v>
      </c>
      <c r="L16">
        <v>-0.53615550000000001</v>
      </c>
      <c r="M16">
        <v>-0.52585760000000004</v>
      </c>
      <c r="N16" s="11">
        <f t="shared" si="0"/>
        <v>1.9375846666666667</v>
      </c>
      <c r="O16" s="11">
        <f t="shared" si="1"/>
        <v>5.3554936666666668</v>
      </c>
      <c r="P16" s="11">
        <f t="shared" si="2"/>
        <v>-0.68740389999999996</v>
      </c>
      <c r="Q16" s="11">
        <f t="shared" si="3"/>
        <v>-0.54676803333333335</v>
      </c>
    </row>
    <row r="17" spans="1:17" x14ac:dyDescent="0.25">
      <c r="A17">
        <v>1916</v>
      </c>
      <c r="B17">
        <v>-0.38459510000000002</v>
      </c>
      <c r="C17">
        <v>-0.72985140000000004</v>
      </c>
      <c r="D17">
        <v>0.81418009999999996</v>
      </c>
      <c r="E17">
        <v>-3.3188700000000002E-2</v>
      </c>
      <c r="F17">
        <v>-0.26817609999999997</v>
      </c>
      <c r="G17">
        <v>-1.617005</v>
      </c>
      <c r="H17">
        <v>-2.211071</v>
      </c>
      <c r="I17">
        <v>-2.096101</v>
      </c>
      <c r="J17">
        <v>-1.7714030000000001</v>
      </c>
      <c r="K17">
        <v>-2.307795</v>
      </c>
      <c r="L17">
        <v>-1.739317</v>
      </c>
      <c r="M17">
        <v>-1.1548119999999999</v>
      </c>
      <c r="N17" s="11">
        <f t="shared" si="0"/>
        <v>0.17093843333333333</v>
      </c>
      <c r="O17" s="11">
        <f t="shared" si="1"/>
        <v>-1.9747256666666668</v>
      </c>
      <c r="P17" s="11">
        <f t="shared" si="2"/>
        <v>-1.9395049999999998</v>
      </c>
      <c r="Q17" s="11">
        <f t="shared" si="3"/>
        <v>-0.89136466666666658</v>
      </c>
    </row>
    <row r="18" spans="1:17" x14ac:dyDescent="0.25">
      <c r="A18">
        <v>1917</v>
      </c>
      <c r="B18">
        <v>-0.8616779</v>
      </c>
      <c r="C18">
        <v>-0.65760410000000002</v>
      </c>
      <c r="D18">
        <v>-1.0151060000000001</v>
      </c>
      <c r="E18">
        <v>-1.5185150000000001</v>
      </c>
      <c r="F18">
        <v>-2.628234</v>
      </c>
      <c r="G18">
        <v>-2.4836879999999999</v>
      </c>
      <c r="H18">
        <v>-3.0751170000000001</v>
      </c>
      <c r="I18">
        <v>-3.1658029999999999</v>
      </c>
      <c r="J18">
        <v>-2.6439059999999999</v>
      </c>
      <c r="K18">
        <v>-2.77746</v>
      </c>
      <c r="L18">
        <v>-2.7687270000000002</v>
      </c>
      <c r="M18">
        <v>-2.3543370000000001</v>
      </c>
      <c r="N18" s="11">
        <f t="shared" si="0"/>
        <v>-1.7206183333333334</v>
      </c>
      <c r="O18" s="11">
        <f t="shared" si="1"/>
        <v>-2.9082026666666665</v>
      </c>
      <c r="P18" s="11">
        <f t="shared" si="2"/>
        <v>-2.7300310000000003</v>
      </c>
      <c r="Q18" s="11">
        <f t="shared" si="3"/>
        <v>-2.2757476666666672</v>
      </c>
    </row>
    <row r="19" spans="1:17" x14ac:dyDescent="0.25">
      <c r="A19">
        <v>1918</v>
      </c>
      <c r="B19">
        <v>-2.0879590000000001</v>
      </c>
      <c r="C19">
        <v>-2.3849469999999999</v>
      </c>
      <c r="D19">
        <v>0.81167849999999997</v>
      </c>
      <c r="E19">
        <v>1.3045370000000001</v>
      </c>
      <c r="F19">
        <v>2.2970809999999999</v>
      </c>
      <c r="G19">
        <v>3.0168469999999999E-2</v>
      </c>
      <c r="H19">
        <v>-0.78664579999999995</v>
      </c>
      <c r="I19">
        <v>-1.28654</v>
      </c>
      <c r="J19">
        <v>-1.2083170000000001</v>
      </c>
      <c r="K19">
        <v>-1.2481530000000001</v>
      </c>
      <c r="L19">
        <v>0.92058150000000005</v>
      </c>
      <c r="M19">
        <v>0.61773960000000006</v>
      </c>
      <c r="N19" s="11">
        <f t="shared" si="0"/>
        <v>1.4710988333333332</v>
      </c>
      <c r="O19" s="11">
        <f t="shared" si="1"/>
        <v>-0.68100577666666673</v>
      </c>
      <c r="P19" s="11">
        <f t="shared" si="2"/>
        <v>-0.51196283333333348</v>
      </c>
      <c r="Q19" s="11">
        <f t="shared" si="3"/>
        <v>0.48097400000000001</v>
      </c>
    </row>
    <row r="20" spans="1:17" x14ac:dyDescent="0.25">
      <c r="A20">
        <v>1919</v>
      </c>
      <c r="B20">
        <v>0.3609213</v>
      </c>
      <c r="C20">
        <v>0.46426109999999998</v>
      </c>
      <c r="D20">
        <v>0.76046650000000005</v>
      </c>
      <c r="E20">
        <v>1.296476</v>
      </c>
      <c r="F20">
        <v>3.580168</v>
      </c>
      <c r="G20">
        <v>-0.1075965</v>
      </c>
      <c r="H20">
        <v>-0.25908569999999997</v>
      </c>
      <c r="I20">
        <v>-0.92132990000000003</v>
      </c>
      <c r="J20">
        <v>-1.0213620000000001</v>
      </c>
      <c r="K20">
        <v>-1.5305089999999999</v>
      </c>
      <c r="L20">
        <v>0.54333529999999997</v>
      </c>
      <c r="M20">
        <v>0.65236950000000005</v>
      </c>
      <c r="N20" s="11">
        <f t="shared" si="0"/>
        <v>1.8790368333333334</v>
      </c>
      <c r="O20" s="11">
        <f t="shared" si="1"/>
        <v>-0.42933736666666666</v>
      </c>
      <c r="P20" s="11">
        <f t="shared" si="2"/>
        <v>-0.66951190000000016</v>
      </c>
      <c r="Q20" s="11">
        <f t="shared" si="3"/>
        <v>0.46577923333333332</v>
      </c>
    </row>
    <row r="21" spans="1:17" x14ac:dyDescent="0.25">
      <c r="A21">
        <v>1920</v>
      </c>
      <c r="B21">
        <v>0.60644189999999998</v>
      </c>
      <c r="C21">
        <v>0.13852629999999999</v>
      </c>
      <c r="D21">
        <v>1.284681</v>
      </c>
      <c r="E21">
        <v>1.854422</v>
      </c>
      <c r="F21">
        <v>3.5642870000000002</v>
      </c>
      <c r="G21">
        <v>3.2401580000000001</v>
      </c>
      <c r="H21">
        <v>1.4833879999999999</v>
      </c>
      <c r="I21">
        <v>0.78848499999999999</v>
      </c>
      <c r="J21">
        <v>0.85685990000000001</v>
      </c>
      <c r="K21">
        <v>0.87280040000000003</v>
      </c>
      <c r="L21">
        <v>1.713049</v>
      </c>
      <c r="M21">
        <v>1.8649720000000001</v>
      </c>
      <c r="N21" s="11">
        <f t="shared" si="0"/>
        <v>2.2344633333333337</v>
      </c>
      <c r="O21" s="11">
        <f t="shared" si="1"/>
        <v>1.8373436666666665</v>
      </c>
      <c r="P21" s="11">
        <f t="shared" si="2"/>
        <v>1.1475697666666667</v>
      </c>
      <c r="Q21" s="11">
        <f t="shared" si="3"/>
        <v>2.9979696666666662</v>
      </c>
    </row>
    <row r="22" spans="1:17" x14ac:dyDescent="0.25">
      <c r="A22">
        <v>1921</v>
      </c>
      <c r="B22">
        <v>3.094773</v>
      </c>
      <c r="C22">
        <v>4.0341639999999996</v>
      </c>
      <c r="D22">
        <v>3.427305</v>
      </c>
      <c r="E22">
        <v>5.0930470000000003</v>
      </c>
      <c r="F22">
        <v>6.2358120000000001</v>
      </c>
      <c r="G22">
        <v>6.059723</v>
      </c>
      <c r="H22">
        <v>-1.6727939999999999</v>
      </c>
      <c r="I22">
        <v>-0.51367459999999998</v>
      </c>
      <c r="J22">
        <v>-1.1853499999999999</v>
      </c>
      <c r="K22">
        <v>-1.386727</v>
      </c>
      <c r="L22">
        <v>-2.4375230000000001</v>
      </c>
      <c r="M22">
        <v>1.311177</v>
      </c>
      <c r="N22" s="11">
        <f t="shared" si="0"/>
        <v>4.9187213333333339</v>
      </c>
      <c r="O22" s="11">
        <f t="shared" si="1"/>
        <v>1.2910848000000001</v>
      </c>
      <c r="P22" s="11">
        <f t="shared" si="2"/>
        <v>-1.6698666666666668</v>
      </c>
      <c r="Q22" s="11">
        <f t="shared" si="3"/>
        <v>1.1925323333333333</v>
      </c>
    </row>
    <row r="23" spans="1:17" x14ac:dyDescent="0.25">
      <c r="A23">
        <v>1922</v>
      </c>
      <c r="B23">
        <v>1.2392719999999999</v>
      </c>
      <c r="C23">
        <v>1.0271479999999999</v>
      </c>
      <c r="D23">
        <v>1.330074</v>
      </c>
      <c r="E23">
        <v>-0.78254579999999996</v>
      </c>
      <c r="F23">
        <v>-1.613329</v>
      </c>
      <c r="G23">
        <v>-1.652814</v>
      </c>
      <c r="H23">
        <v>1.981622</v>
      </c>
      <c r="I23">
        <v>2.013147</v>
      </c>
      <c r="J23">
        <v>-0.78662120000000002</v>
      </c>
      <c r="K23">
        <v>-0.97978949999999998</v>
      </c>
      <c r="L23">
        <v>-1.3061689999999999</v>
      </c>
      <c r="M23">
        <v>-1.6090580000000001</v>
      </c>
      <c r="N23" s="11">
        <f t="shared" si="0"/>
        <v>-0.35526693333333331</v>
      </c>
      <c r="O23" s="11">
        <f t="shared" si="1"/>
        <v>0.78065166666666663</v>
      </c>
      <c r="P23" s="11">
        <f t="shared" si="2"/>
        <v>-1.0241932333333332</v>
      </c>
      <c r="Q23" s="11">
        <f t="shared" si="3"/>
        <v>-1.13320614</v>
      </c>
    </row>
    <row r="24" spans="1:17" x14ac:dyDescent="0.25">
      <c r="A24">
        <v>1923</v>
      </c>
      <c r="B24">
        <v>-1.767836</v>
      </c>
      <c r="C24">
        <v>-2.2724419999999999E-2</v>
      </c>
      <c r="D24">
        <v>1.184904</v>
      </c>
      <c r="E24">
        <v>-0.39911600000000003</v>
      </c>
      <c r="F24">
        <v>-1.845445</v>
      </c>
      <c r="G24">
        <v>-1.952577</v>
      </c>
      <c r="H24">
        <v>-2.2775810000000001</v>
      </c>
      <c r="I24">
        <v>-2.1099929999999998</v>
      </c>
      <c r="J24">
        <v>0.1441228</v>
      </c>
      <c r="K24">
        <v>0.23963509999999999</v>
      </c>
      <c r="L24">
        <v>0.118908</v>
      </c>
      <c r="M24">
        <v>0.2394829</v>
      </c>
      <c r="N24" s="11">
        <f t="shared" si="0"/>
        <v>-0.35321900000000001</v>
      </c>
      <c r="O24" s="11">
        <f t="shared" si="1"/>
        <v>-2.113383666666667</v>
      </c>
      <c r="P24" s="11">
        <f t="shared" si="2"/>
        <v>0.16755529999999999</v>
      </c>
      <c r="Q24" s="11">
        <f t="shared" si="3"/>
        <v>0.14687036666666667</v>
      </c>
    </row>
    <row r="25" spans="1:17" x14ac:dyDescent="0.25">
      <c r="A25">
        <v>1924</v>
      </c>
      <c r="B25">
        <v>-0.459565</v>
      </c>
      <c r="C25">
        <v>0.66069319999999998</v>
      </c>
      <c r="D25">
        <v>1.098714</v>
      </c>
      <c r="E25">
        <v>1.334829</v>
      </c>
      <c r="F25">
        <v>-0.84454620000000002</v>
      </c>
      <c r="G25">
        <v>-0.3356654</v>
      </c>
      <c r="H25">
        <v>-0.41501579999999999</v>
      </c>
      <c r="I25">
        <v>-1.217857</v>
      </c>
      <c r="J25">
        <v>-1.7500260000000001</v>
      </c>
      <c r="K25">
        <v>-2.018694</v>
      </c>
      <c r="L25">
        <v>-2.2685789999999999</v>
      </c>
      <c r="M25">
        <v>-2.2650779999999999</v>
      </c>
      <c r="N25" s="11">
        <f t="shared" si="0"/>
        <v>0.52966560000000007</v>
      </c>
      <c r="O25" s="11">
        <f t="shared" si="1"/>
        <v>-0.65617939999999997</v>
      </c>
      <c r="P25" s="11">
        <f t="shared" si="2"/>
        <v>-2.0124330000000001</v>
      </c>
      <c r="Q25" s="11">
        <f t="shared" si="3"/>
        <v>-2.0715569999999999</v>
      </c>
    </row>
    <row r="26" spans="1:17" x14ac:dyDescent="0.25">
      <c r="A26">
        <v>1925</v>
      </c>
      <c r="B26">
        <v>-2.1223900000000002</v>
      </c>
      <c r="C26">
        <v>-1.8272029999999999</v>
      </c>
      <c r="D26">
        <v>-2.2361689999999999</v>
      </c>
      <c r="E26">
        <v>-1.4376640000000001</v>
      </c>
      <c r="F26">
        <v>-2.0522399999999998</v>
      </c>
      <c r="G26">
        <v>-2.0617320000000001</v>
      </c>
      <c r="H26">
        <v>-2.5908129999999998</v>
      </c>
      <c r="I26">
        <v>0.17263519999999999</v>
      </c>
      <c r="J26">
        <v>2.170061</v>
      </c>
      <c r="K26">
        <v>1.0707329999999999</v>
      </c>
      <c r="L26">
        <v>1.3678589999999999</v>
      </c>
      <c r="M26">
        <v>1.318762</v>
      </c>
      <c r="N26" s="11">
        <f t="shared" si="0"/>
        <v>-1.9086909999999999</v>
      </c>
      <c r="O26" s="11">
        <f t="shared" si="1"/>
        <v>-1.4933032666666666</v>
      </c>
      <c r="P26" s="11">
        <f t="shared" si="2"/>
        <v>1.5362176666666667</v>
      </c>
      <c r="Q26" s="11">
        <f t="shared" si="3"/>
        <v>1.6921016666666666</v>
      </c>
    </row>
    <row r="27" spans="1:17" x14ac:dyDescent="0.25">
      <c r="A27">
        <v>1926</v>
      </c>
      <c r="B27">
        <v>1.857731</v>
      </c>
      <c r="C27">
        <v>1.8998120000000001</v>
      </c>
      <c r="D27">
        <v>3.7415820000000002</v>
      </c>
      <c r="E27">
        <v>3.4991880000000002</v>
      </c>
      <c r="F27">
        <v>2.5747309999999999</v>
      </c>
      <c r="G27">
        <v>3.2175910000000001</v>
      </c>
      <c r="H27">
        <v>-1.1118809999999999</v>
      </c>
      <c r="I27">
        <v>-1.663902</v>
      </c>
      <c r="J27">
        <v>-1.712958</v>
      </c>
      <c r="K27">
        <v>-1.5836190000000001</v>
      </c>
      <c r="L27">
        <v>0.99907970000000001</v>
      </c>
      <c r="M27">
        <v>1.5446489999999999</v>
      </c>
      <c r="N27" s="11">
        <f t="shared" si="0"/>
        <v>3.2718336666666672</v>
      </c>
      <c r="O27" s="11">
        <f t="shared" si="1"/>
        <v>0.14726933333333339</v>
      </c>
      <c r="P27" s="11">
        <f t="shared" si="2"/>
        <v>-0.76583243333333328</v>
      </c>
      <c r="Q27" s="11">
        <f t="shared" si="3"/>
        <v>1.8563053333333333</v>
      </c>
    </row>
    <row r="28" spans="1:17" x14ac:dyDescent="0.25">
      <c r="A28">
        <v>1927</v>
      </c>
      <c r="B28">
        <v>1.7847</v>
      </c>
      <c r="C28">
        <v>2.2395670000000001</v>
      </c>
      <c r="D28">
        <v>1.7680370000000001</v>
      </c>
      <c r="E28">
        <v>1.996373</v>
      </c>
      <c r="F28">
        <v>-0.39059189999999999</v>
      </c>
      <c r="G28">
        <v>-1.0259670000000001</v>
      </c>
      <c r="H28">
        <v>-1.4956370000000001</v>
      </c>
      <c r="I28">
        <v>-1.5283169999999999</v>
      </c>
      <c r="J28">
        <v>1.0827260000000001</v>
      </c>
      <c r="K28">
        <v>-0.5469946</v>
      </c>
      <c r="L28">
        <v>-0.69255489999999997</v>
      </c>
      <c r="M28">
        <v>-0.86203099999999999</v>
      </c>
      <c r="N28" s="11">
        <f t="shared" si="0"/>
        <v>1.1246060333333332</v>
      </c>
      <c r="O28" s="11">
        <f t="shared" si="1"/>
        <v>-1.3499736666666664</v>
      </c>
      <c r="P28" s="11">
        <f t="shared" si="2"/>
        <v>-5.2274499999999967E-2</v>
      </c>
      <c r="Q28" s="11">
        <f t="shared" si="3"/>
        <v>-0.1784354346666667</v>
      </c>
    </row>
    <row r="29" spans="1:17" x14ac:dyDescent="0.25">
      <c r="A29">
        <v>1928</v>
      </c>
      <c r="B29">
        <v>3.7449599999999999E-4</v>
      </c>
      <c r="C29">
        <v>0.32635019999999998</v>
      </c>
      <c r="D29">
        <v>0.95583149999999995</v>
      </c>
      <c r="E29">
        <v>1.750793</v>
      </c>
      <c r="F29">
        <v>1.2334989999999999</v>
      </c>
      <c r="G29">
        <v>1.9003000000000001</v>
      </c>
      <c r="H29">
        <v>2.1895190000000002</v>
      </c>
      <c r="I29">
        <v>-0.83047280000000001</v>
      </c>
      <c r="J29">
        <v>-1.732378</v>
      </c>
      <c r="K29">
        <v>-2.1340430000000001</v>
      </c>
      <c r="L29">
        <v>0.23039999999999999</v>
      </c>
      <c r="M29">
        <v>0.87555499999999997</v>
      </c>
      <c r="N29" s="11">
        <f t="shared" si="0"/>
        <v>1.3133745000000001</v>
      </c>
      <c r="O29" s="11">
        <f t="shared" si="1"/>
        <v>1.0864487333333335</v>
      </c>
      <c r="P29" s="11">
        <f t="shared" si="2"/>
        <v>-1.2120070000000001</v>
      </c>
      <c r="Q29" s="11">
        <f t="shared" si="3"/>
        <v>1.9247193333333332</v>
      </c>
    </row>
    <row r="30" spans="1:17" x14ac:dyDescent="0.25">
      <c r="A30">
        <v>1929</v>
      </c>
      <c r="B30">
        <v>1.485403</v>
      </c>
      <c r="C30">
        <v>3.4131999999999998</v>
      </c>
      <c r="D30">
        <v>2.8573330000000001</v>
      </c>
      <c r="E30">
        <v>3.0293519999999998</v>
      </c>
      <c r="F30">
        <v>2.244218</v>
      </c>
      <c r="G30">
        <v>2.6194299999999999</v>
      </c>
      <c r="H30">
        <v>1.669262</v>
      </c>
      <c r="I30">
        <v>1.8670329999999999</v>
      </c>
      <c r="J30">
        <v>1.4830369999999999</v>
      </c>
      <c r="K30">
        <v>1.0506390000000001</v>
      </c>
      <c r="L30">
        <v>0.74827049999999995</v>
      </c>
      <c r="M30">
        <v>1.846549</v>
      </c>
      <c r="N30" s="11">
        <f t="shared" si="0"/>
        <v>2.7103009999999998</v>
      </c>
      <c r="O30" s="11">
        <f t="shared" si="1"/>
        <v>2.0519083333333334</v>
      </c>
      <c r="P30" s="11">
        <f t="shared" si="2"/>
        <v>1.0939821666666665</v>
      </c>
      <c r="Q30" s="11">
        <f t="shared" si="3"/>
        <v>1.3908429666666666</v>
      </c>
    </row>
    <row r="31" spans="1:17" x14ac:dyDescent="0.25">
      <c r="A31">
        <v>1930</v>
      </c>
      <c r="B31">
        <v>1.363775</v>
      </c>
      <c r="C31">
        <v>0.96220490000000003</v>
      </c>
      <c r="D31">
        <v>0.94532709999999998</v>
      </c>
      <c r="E31">
        <v>1.4116230000000001</v>
      </c>
      <c r="F31">
        <v>0.98706640000000001</v>
      </c>
      <c r="G31">
        <v>2.4058459999999999</v>
      </c>
      <c r="H31">
        <v>1.90273</v>
      </c>
      <c r="I31">
        <v>1.142601</v>
      </c>
      <c r="J31">
        <v>0.61350170000000004</v>
      </c>
      <c r="K31">
        <v>1.2746729999999999</v>
      </c>
      <c r="L31">
        <v>2.649089</v>
      </c>
      <c r="M31">
        <v>4.4230559999999999</v>
      </c>
      <c r="N31" s="11">
        <f t="shared" si="0"/>
        <v>1.1146721666666668</v>
      </c>
      <c r="O31" s="11">
        <f t="shared" si="1"/>
        <v>1.8170590000000002</v>
      </c>
      <c r="P31" s="11">
        <f t="shared" si="2"/>
        <v>1.5124212333333336</v>
      </c>
      <c r="Q31" s="11">
        <f t="shared" si="3"/>
        <v>4.6362016666666666</v>
      </c>
    </row>
    <row r="32" spans="1:17" x14ac:dyDescent="0.25">
      <c r="A32">
        <v>1931</v>
      </c>
      <c r="B32">
        <v>4.9795340000000001</v>
      </c>
      <c r="C32">
        <v>4.5060149999999997</v>
      </c>
      <c r="D32">
        <v>-0.4991872</v>
      </c>
      <c r="E32">
        <v>0.45338650000000003</v>
      </c>
      <c r="F32">
        <v>-0.94469749999999997</v>
      </c>
      <c r="G32">
        <v>-1.58317</v>
      </c>
      <c r="H32">
        <v>-1.724947</v>
      </c>
      <c r="I32">
        <v>-1.7459750000000001</v>
      </c>
      <c r="J32">
        <v>-2.6065670000000001</v>
      </c>
      <c r="K32">
        <v>-2.2773029999999999</v>
      </c>
      <c r="L32">
        <v>-2.2581289999999998</v>
      </c>
      <c r="M32">
        <v>-2.369726</v>
      </c>
      <c r="N32" s="11">
        <f>IF(AND(ISNUMBER(D32),ISNUMBER(E32),ISNUMBER(F32)),AVERAGE(D32:F32),"")</f>
        <v>-0.33016606666666665</v>
      </c>
      <c r="O32" s="11">
        <f>IF(AND(ISNUMBER(G32),ISNUMBER(H32),ISNUMBER(I32)),AVERAGE(G32:I32),"")</f>
        <v>-1.6846973333333335</v>
      </c>
      <c r="P32" s="11">
        <f>IF(AND(ISNUMBER(J32),ISNUMBER(K32),ISNUMBER(L32)),AVERAGE(J32:L32),"")</f>
        <v>-2.3806663333333336</v>
      </c>
      <c r="Q32" s="11">
        <f>IF(AND(ISNUMBER(M32),ISNUMBER(B33),ISNUMBER(C33)),AVERAGE(M32,B33:C33),"")</f>
        <v>-1.6484961299999998</v>
      </c>
    </row>
    <row r="33" spans="1:17" x14ac:dyDescent="0.25">
      <c r="A33">
        <v>1932</v>
      </c>
      <c r="B33">
        <v>-2.6316299999999999</v>
      </c>
      <c r="C33">
        <v>5.5867609999999998E-2</v>
      </c>
      <c r="D33">
        <v>0.1055344</v>
      </c>
      <c r="E33">
        <v>1.942817</v>
      </c>
      <c r="F33">
        <v>1.0538000000000001</v>
      </c>
      <c r="G33">
        <v>2.9638010000000001</v>
      </c>
      <c r="H33">
        <v>4.0097759999999996</v>
      </c>
      <c r="I33">
        <v>3.42083</v>
      </c>
      <c r="J33">
        <v>3.2641269999999998</v>
      </c>
      <c r="K33">
        <v>3.8833389999999999</v>
      </c>
      <c r="L33">
        <v>3.2034579999999999</v>
      </c>
      <c r="M33">
        <v>2.7195770000000001</v>
      </c>
      <c r="N33" s="11">
        <f t="shared" ref="N33:N96" si="4">IF(AND(ISNUMBER(D33),ISNUMBER(E33),ISNUMBER(F33)),AVERAGE(D33:F33),"")</f>
        <v>1.0340504666666668</v>
      </c>
      <c r="O33" s="11">
        <f t="shared" ref="O33:O96" si="5">IF(AND(ISNUMBER(G33),ISNUMBER(H33),ISNUMBER(I33)),AVERAGE(G33:I33),"")</f>
        <v>3.4648023333333331</v>
      </c>
      <c r="P33" s="11">
        <f t="shared" ref="P33:P96" si="6">IF(AND(ISNUMBER(J33),ISNUMBER(K33),ISNUMBER(L33)),AVERAGE(J33:L33),"")</f>
        <v>3.4503079999999997</v>
      </c>
      <c r="Q33" s="11">
        <f t="shared" ref="Q33:Q96" si="7">IF(AND(ISNUMBER(M33),ISNUMBER(B34),ISNUMBER(C34)),AVERAGE(M33,B34:C34),"")</f>
        <v>3.3422836666666669</v>
      </c>
    </row>
    <row r="34" spans="1:17" x14ac:dyDescent="0.25">
      <c r="A34">
        <v>1933</v>
      </c>
      <c r="B34">
        <v>3.4856289999999999</v>
      </c>
      <c r="C34">
        <v>3.8216450000000002</v>
      </c>
      <c r="D34">
        <v>4.9066869999999998</v>
      </c>
      <c r="E34">
        <v>4.4766890000000004</v>
      </c>
      <c r="F34">
        <v>-0.68540020000000001</v>
      </c>
      <c r="G34">
        <v>-0.57151510000000005</v>
      </c>
      <c r="H34">
        <v>-1.7008920000000001</v>
      </c>
      <c r="I34">
        <v>-0.8830209</v>
      </c>
      <c r="J34">
        <v>-1.917136</v>
      </c>
      <c r="K34">
        <v>0.12541669999999999</v>
      </c>
      <c r="L34">
        <v>0.51242089999999996</v>
      </c>
      <c r="M34">
        <v>1.246553</v>
      </c>
      <c r="N34" s="11">
        <f t="shared" si="4"/>
        <v>2.8993252666666667</v>
      </c>
      <c r="O34" s="11">
        <f t="shared" si="5"/>
        <v>-1.0518093333333334</v>
      </c>
      <c r="P34" s="11">
        <f t="shared" si="6"/>
        <v>-0.4264328</v>
      </c>
      <c r="Q34" s="11">
        <f t="shared" si="7"/>
        <v>1.4443870000000001</v>
      </c>
    </row>
    <row r="35" spans="1:17" x14ac:dyDescent="0.25">
      <c r="A35">
        <v>1934</v>
      </c>
      <c r="B35">
        <v>1.2777579999999999</v>
      </c>
      <c r="C35">
        <v>1.8088500000000001</v>
      </c>
      <c r="D35">
        <v>2.4005990000000001</v>
      </c>
      <c r="E35">
        <v>-0.74831029999999998</v>
      </c>
      <c r="F35">
        <v>-1.2344440000000001</v>
      </c>
      <c r="G35">
        <v>0.8158183</v>
      </c>
      <c r="H35">
        <v>-0.43936989999999998</v>
      </c>
      <c r="I35">
        <v>-0.93394820000000001</v>
      </c>
      <c r="J35">
        <v>-1.11148</v>
      </c>
      <c r="K35">
        <v>-0.94781890000000002</v>
      </c>
      <c r="L35">
        <v>-1.488907</v>
      </c>
      <c r="M35">
        <v>-1.5970420000000001</v>
      </c>
      <c r="N35" s="11">
        <f t="shared" si="4"/>
        <v>0.13928156666666669</v>
      </c>
      <c r="O35" s="11">
        <f t="shared" si="5"/>
        <v>-0.18583326666666666</v>
      </c>
      <c r="P35" s="11">
        <f t="shared" si="6"/>
        <v>-1.1827353</v>
      </c>
      <c r="Q35" s="11">
        <f t="shared" si="7"/>
        <v>-0.99772916666666678</v>
      </c>
    </row>
    <row r="36" spans="1:17" x14ac:dyDescent="0.25">
      <c r="A36">
        <v>1935</v>
      </c>
      <c r="B36">
        <v>-1.72804</v>
      </c>
      <c r="C36">
        <v>0.33189449999999998</v>
      </c>
      <c r="D36">
        <v>0.79231759999999996</v>
      </c>
      <c r="E36">
        <v>0.19072339999999999</v>
      </c>
      <c r="F36">
        <v>0.265405</v>
      </c>
      <c r="G36">
        <v>1.230494</v>
      </c>
      <c r="H36">
        <v>-1.8262449999999999</v>
      </c>
      <c r="I36">
        <v>-2.0834440000000001</v>
      </c>
      <c r="J36">
        <v>-1.9159619999999999</v>
      </c>
      <c r="K36">
        <v>0.10618619999999999</v>
      </c>
      <c r="L36">
        <v>0.72442410000000002</v>
      </c>
      <c r="M36">
        <v>1.3287640000000001</v>
      </c>
      <c r="N36" s="11">
        <f t="shared" si="4"/>
        <v>0.41614866666666667</v>
      </c>
      <c r="O36" s="11">
        <f t="shared" si="5"/>
        <v>-0.893065</v>
      </c>
      <c r="P36" s="11">
        <f t="shared" si="6"/>
        <v>-0.36178389999999999</v>
      </c>
      <c r="Q36" s="11">
        <f t="shared" si="7"/>
        <v>1.3684526666666665</v>
      </c>
    </row>
    <row r="37" spans="1:17" x14ac:dyDescent="0.25">
      <c r="A37">
        <v>1936</v>
      </c>
      <c r="B37">
        <v>1.494391</v>
      </c>
      <c r="C37">
        <v>1.282203</v>
      </c>
      <c r="D37">
        <v>1.325698</v>
      </c>
      <c r="E37">
        <v>2.0446740000000001</v>
      </c>
      <c r="F37">
        <v>2.501252</v>
      </c>
      <c r="G37">
        <v>2.6402359999999998</v>
      </c>
      <c r="H37">
        <v>-0.37488759999999999</v>
      </c>
      <c r="I37">
        <v>-0.81562699999999999</v>
      </c>
      <c r="J37">
        <v>-0.61070080000000004</v>
      </c>
      <c r="K37">
        <v>-0.87747589999999998</v>
      </c>
      <c r="L37">
        <v>-1.466159</v>
      </c>
      <c r="M37">
        <v>1.13175</v>
      </c>
      <c r="N37" s="11">
        <f t="shared" si="4"/>
        <v>1.9572080000000003</v>
      </c>
      <c r="O37" s="11">
        <f t="shared" si="5"/>
        <v>0.48324046666666653</v>
      </c>
      <c r="P37" s="11">
        <f t="shared" si="6"/>
        <v>-0.98477856666666652</v>
      </c>
      <c r="Q37" s="11">
        <f t="shared" si="7"/>
        <v>0.51398886666666666</v>
      </c>
    </row>
    <row r="38" spans="1:17" x14ac:dyDescent="0.25">
      <c r="A38">
        <v>1937</v>
      </c>
      <c r="B38">
        <v>-0.80102240000000002</v>
      </c>
      <c r="C38">
        <v>1.211239</v>
      </c>
      <c r="D38">
        <v>1.6433009999999999</v>
      </c>
      <c r="E38">
        <v>-0.86010299999999995</v>
      </c>
      <c r="F38">
        <v>-1.3816999999999999</v>
      </c>
      <c r="G38">
        <v>-0.91858790000000001</v>
      </c>
      <c r="H38">
        <v>-0.7404944</v>
      </c>
      <c r="I38">
        <v>-0.59157749999999998</v>
      </c>
      <c r="J38">
        <v>-1.653934</v>
      </c>
      <c r="K38">
        <v>-2.5478079999999999</v>
      </c>
      <c r="L38">
        <v>-2.0514610000000002</v>
      </c>
      <c r="M38">
        <v>-2.2787899999999999</v>
      </c>
      <c r="N38" s="11">
        <f t="shared" si="4"/>
        <v>-0.19950066666666666</v>
      </c>
      <c r="O38" s="11">
        <f t="shared" si="5"/>
        <v>-0.75021993333333337</v>
      </c>
      <c r="P38" s="11">
        <f t="shared" si="6"/>
        <v>-2.0844009999999997</v>
      </c>
      <c r="Q38" s="11">
        <f t="shared" si="7"/>
        <v>-2.5408539999999999</v>
      </c>
    </row>
    <row r="39" spans="1:17" x14ac:dyDescent="0.25">
      <c r="A39">
        <v>1938</v>
      </c>
      <c r="B39">
        <v>-2.3717730000000001</v>
      </c>
      <c r="C39">
        <v>-2.9719989999999998</v>
      </c>
      <c r="D39">
        <v>-2.1444679999999998</v>
      </c>
      <c r="E39">
        <v>-2.5183580000000001</v>
      </c>
      <c r="F39">
        <v>-3.1458949999999999</v>
      </c>
      <c r="G39">
        <v>-2.978281</v>
      </c>
      <c r="H39">
        <v>-2.6968019999999999</v>
      </c>
      <c r="I39">
        <v>-3.0197029999999998</v>
      </c>
      <c r="J39">
        <v>-2.7360850000000001</v>
      </c>
      <c r="K39">
        <v>0.67471119999999996</v>
      </c>
      <c r="L39">
        <v>1.3505849999999999</v>
      </c>
      <c r="M39">
        <v>1.119847</v>
      </c>
      <c r="N39" s="11">
        <f t="shared" si="4"/>
        <v>-2.6029070000000001</v>
      </c>
      <c r="O39" s="11">
        <f t="shared" si="5"/>
        <v>-2.8982620000000003</v>
      </c>
      <c r="P39" s="11">
        <f t="shared" si="6"/>
        <v>-0.23692960000000007</v>
      </c>
      <c r="Q39" s="11">
        <f t="shared" si="7"/>
        <v>1.8307326666666668</v>
      </c>
    </row>
    <row r="40" spans="1:17" x14ac:dyDescent="0.25">
      <c r="A40">
        <v>1939</v>
      </c>
      <c r="B40">
        <v>1.513064</v>
      </c>
      <c r="C40">
        <v>2.8592870000000001</v>
      </c>
      <c r="D40">
        <v>-0.97984119999999997</v>
      </c>
      <c r="E40">
        <v>-1.581113</v>
      </c>
      <c r="F40">
        <v>0.54616989999999999</v>
      </c>
      <c r="G40">
        <v>0.99244509999999997</v>
      </c>
      <c r="H40">
        <v>-1.247266</v>
      </c>
      <c r="I40">
        <v>-0.79093089999999999</v>
      </c>
      <c r="J40">
        <v>-1.1541729999999999</v>
      </c>
      <c r="K40">
        <v>1.1467590000000001</v>
      </c>
      <c r="L40">
        <v>-0.63407539999999996</v>
      </c>
      <c r="M40">
        <v>-1.084436</v>
      </c>
      <c r="N40" s="11">
        <f t="shared" si="4"/>
        <v>-0.67159476666666651</v>
      </c>
      <c r="O40" s="11">
        <f t="shared" si="5"/>
        <v>-0.34858393333333337</v>
      </c>
      <c r="P40" s="11">
        <f t="shared" si="6"/>
        <v>-0.21382979999999993</v>
      </c>
      <c r="Q40" s="11">
        <f t="shared" si="7"/>
        <v>-0.47723789999999999</v>
      </c>
    </row>
    <row r="41" spans="1:17" x14ac:dyDescent="0.25">
      <c r="A41">
        <v>1940</v>
      </c>
      <c r="B41">
        <v>-1.1180369999999999</v>
      </c>
      <c r="C41">
        <v>0.77075930000000004</v>
      </c>
      <c r="D41">
        <v>0.29021530000000001</v>
      </c>
      <c r="E41">
        <v>1.3511709999999999</v>
      </c>
      <c r="F41">
        <v>2.5197699999999998</v>
      </c>
      <c r="G41">
        <v>3.0230779999999999</v>
      </c>
      <c r="H41">
        <v>3.1547900000000002</v>
      </c>
      <c r="I41">
        <v>-1.5291239999999999</v>
      </c>
      <c r="J41">
        <v>-1.967252</v>
      </c>
      <c r="K41">
        <v>-1.768133</v>
      </c>
      <c r="L41">
        <v>-1.433206</v>
      </c>
      <c r="M41">
        <v>-0.58748040000000001</v>
      </c>
      <c r="N41" s="11">
        <f t="shared" si="4"/>
        <v>1.3870521</v>
      </c>
      <c r="O41" s="11">
        <f t="shared" si="5"/>
        <v>1.5495813333333335</v>
      </c>
      <c r="P41" s="11">
        <f t="shared" si="6"/>
        <v>-1.7228636666666668</v>
      </c>
      <c r="Q41" s="11">
        <f t="shared" si="7"/>
        <v>-0.86800436666666669</v>
      </c>
    </row>
    <row r="42" spans="1:17" x14ac:dyDescent="0.25">
      <c r="A42">
        <v>1941</v>
      </c>
      <c r="B42">
        <v>-1.036888</v>
      </c>
      <c r="C42">
        <v>-0.97964470000000003</v>
      </c>
      <c r="D42">
        <v>-1.465792</v>
      </c>
      <c r="E42">
        <v>0.4180873</v>
      </c>
      <c r="F42">
        <v>-0.29450270000000001</v>
      </c>
      <c r="G42">
        <v>-0.51325690000000002</v>
      </c>
      <c r="H42">
        <v>0.44865529999999998</v>
      </c>
      <c r="I42">
        <v>1.1513990000000001</v>
      </c>
      <c r="J42">
        <v>-1.15709</v>
      </c>
      <c r="K42">
        <v>-1.2013659999999999</v>
      </c>
      <c r="L42">
        <v>1.0083439999999999</v>
      </c>
      <c r="M42">
        <v>1.711276</v>
      </c>
      <c r="N42" s="11">
        <f t="shared" si="4"/>
        <v>-0.44740246666666666</v>
      </c>
      <c r="O42" s="11">
        <f t="shared" si="5"/>
        <v>0.36226580000000003</v>
      </c>
      <c r="P42" s="11">
        <f t="shared" si="6"/>
        <v>-0.45003733333333334</v>
      </c>
      <c r="Q42" s="11">
        <f t="shared" si="7"/>
        <v>1.5214596666666669</v>
      </c>
    </row>
    <row r="43" spans="1:17" x14ac:dyDescent="0.25">
      <c r="A43">
        <v>1942</v>
      </c>
      <c r="B43">
        <v>1.3082389999999999</v>
      </c>
      <c r="C43">
        <v>1.544864</v>
      </c>
      <c r="D43">
        <v>1.797221</v>
      </c>
      <c r="E43">
        <v>1.703492</v>
      </c>
      <c r="F43">
        <v>-0.63860680000000003</v>
      </c>
      <c r="G43">
        <v>-1.59955</v>
      </c>
      <c r="H43">
        <v>-2.2306059999999999</v>
      </c>
      <c r="I43">
        <v>-2.012597</v>
      </c>
      <c r="J43">
        <v>-1.8854919999999999</v>
      </c>
      <c r="K43">
        <v>-1.870981</v>
      </c>
      <c r="L43">
        <v>-2.0991179999999998</v>
      </c>
      <c r="M43">
        <v>-2.2670270000000001</v>
      </c>
      <c r="N43" s="11">
        <f t="shared" si="4"/>
        <v>0.95403540000000009</v>
      </c>
      <c r="O43" s="11">
        <f t="shared" si="5"/>
        <v>-1.9475843333333334</v>
      </c>
      <c r="P43" s="11">
        <f t="shared" si="6"/>
        <v>-1.9518636666666664</v>
      </c>
      <c r="Q43" s="11">
        <f t="shared" si="7"/>
        <v>-2.742668333333333</v>
      </c>
    </row>
    <row r="44" spans="1:17" x14ac:dyDescent="0.25">
      <c r="A44">
        <v>1943</v>
      </c>
      <c r="B44">
        <v>-2.9905710000000001</v>
      </c>
      <c r="C44">
        <v>-2.9704069999999998</v>
      </c>
      <c r="D44">
        <v>-2.5244520000000001</v>
      </c>
      <c r="E44">
        <v>-2.7309739999999998</v>
      </c>
      <c r="F44">
        <v>-3.0227940000000002</v>
      </c>
      <c r="G44">
        <v>-3.7599040000000001</v>
      </c>
      <c r="H44">
        <v>-3.3832490000000002</v>
      </c>
      <c r="I44">
        <v>-4.100625</v>
      </c>
      <c r="J44">
        <v>-3.3350200000000001</v>
      </c>
      <c r="K44">
        <v>-3.0371959999999998</v>
      </c>
      <c r="L44">
        <v>-2.9512179999999999</v>
      </c>
      <c r="M44">
        <v>-3.5077379999999998</v>
      </c>
      <c r="N44" s="11">
        <f t="shared" si="4"/>
        <v>-2.759406666666667</v>
      </c>
      <c r="O44" s="11">
        <f t="shared" si="5"/>
        <v>-3.7479259999999996</v>
      </c>
      <c r="P44" s="11">
        <f t="shared" si="6"/>
        <v>-3.1078113333333328</v>
      </c>
      <c r="Q44" s="11">
        <f t="shared" si="7"/>
        <v>-3.8417973333333335</v>
      </c>
    </row>
    <row r="45" spans="1:17" x14ac:dyDescent="0.25">
      <c r="A45">
        <v>1944</v>
      </c>
      <c r="B45">
        <v>-4.0613159999999997</v>
      </c>
      <c r="C45">
        <v>-3.9563380000000001</v>
      </c>
      <c r="D45">
        <v>-4.266025</v>
      </c>
      <c r="E45">
        <v>-4.2178599999999999</v>
      </c>
      <c r="F45">
        <v>-4.9431380000000003</v>
      </c>
      <c r="G45">
        <v>0.83601890000000001</v>
      </c>
      <c r="H45">
        <v>0.25296839999999998</v>
      </c>
      <c r="I45">
        <v>1.634109</v>
      </c>
      <c r="J45">
        <v>1.3836120000000001</v>
      </c>
      <c r="K45">
        <v>3.9092419999999999</v>
      </c>
      <c r="L45">
        <v>3.5712000000000002</v>
      </c>
      <c r="M45">
        <v>2.361685</v>
      </c>
      <c r="N45" s="11">
        <f t="shared" si="4"/>
        <v>-4.475674333333334</v>
      </c>
      <c r="O45" s="11">
        <f t="shared" si="5"/>
        <v>0.9076987666666666</v>
      </c>
      <c r="P45" s="11">
        <f t="shared" si="6"/>
        <v>2.9546846666666666</v>
      </c>
      <c r="Q45" s="11">
        <f t="shared" si="7"/>
        <v>1.3733535666666665</v>
      </c>
    </row>
    <row r="46" spans="1:17" x14ac:dyDescent="0.25">
      <c r="A46">
        <v>1945</v>
      </c>
      <c r="B46">
        <v>0.80914870000000005</v>
      </c>
      <c r="C46">
        <v>0.94922700000000004</v>
      </c>
      <c r="D46">
        <v>2.1252819999999999</v>
      </c>
      <c r="E46">
        <v>1.984356</v>
      </c>
      <c r="F46">
        <v>3.662331</v>
      </c>
      <c r="G46">
        <v>3.0819730000000001</v>
      </c>
      <c r="H46">
        <v>4.1018299999999996</v>
      </c>
      <c r="I46">
        <v>4.5210920000000003</v>
      </c>
      <c r="J46">
        <v>3.3076819999999998</v>
      </c>
      <c r="K46">
        <v>2.619964</v>
      </c>
      <c r="L46">
        <v>3.305796</v>
      </c>
      <c r="M46">
        <v>3.4078189999999999</v>
      </c>
      <c r="N46" s="11">
        <f t="shared" si="4"/>
        <v>2.5906563333333334</v>
      </c>
      <c r="O46" s="11">
        <f t="shared" si="5"/>
        <v>3.9016316666666668</v>
      </c>
      <c r="P46" s="11">
        <f t="shared" si="6"/>
        <v>3.077814</v>
      </c>
      <c r="Q46" s="11">
        <f t="shared" si="7"/>
        <v>3.647057333333334</v>
      </c>
    </row>
    <row r="47" spans="1:17" x14ac:dyDescent="0.25">
      <c r="A47">
        <v>1946</v>
      </c>
      <c r="B47">
        <v>3.2624080000000002</v>
      </c>
      <c r="C47">
        <v>4.2709450000000002</v>
      </c>
      <c r="D47">
        <v>-0.80114039999999997</v>
      </c>
      <c r="E47">
        <v>-0.82483510000000004</v>
      </c>
      <c r="F47">
        <v>-1.0721160000000001</v>
      </c>
      <c r="G47">
        <v>-2.3718330000000001</v>
      </c>
      <c r="H47">
        <v>-2.1207319999999998</v>
      </c>
      <c r="I47">
        <v>-2.7903709999999999</v>
      </c>
      <c r="J47">
        <v>1.44225</v>
      </c>
      <c r="K47">
        <v>1.7269779999999999</v>
      </c>
      <c r="L47">
        <v>3.5458620000000001</v>
      </c>
      <c r="M47">
        <v>3.2154699999999998</v>
      </c>
      <c r="N47" s="11">
        <f t="shared" si="4"/>
        <v>-0.89936383333333347</v>
      </c>
      <c r="O47" s="11">
        <f t="shared" si="5"/>
        <v>-2.427645333333333</v>
      </c>
      <c r="P47" s="11">
        <f t="shared" si="6"/>
        <v>2.2383633333333335</v>
      </c>
      <c r="Q47" s="11">
        <f t="shared" si="7"/>
        <v>3.6731813333333334</v>
      </c>
    </row>
    <row r="48" spans="1:17" x14ac:dyDescent="0.25">
      <c r="A48">
        <v>1947</v>
      </c>
      <c r="B48">
        <v>3.9051170000000002</v>
      </c>
      <c r="C48">
        <v>3.8989569999999998</v>
      </c>
      <c r="D48">
        <v>-0.2523302</v>
      </c>
      <c r="E48">
        <v>-0.95308199999999998</v>
      </c>
      <c r="F48">
        <v>4.8045009999999999E-2</v>
      </c>
      <c r="G48">
        <v>1.0438000000000001</v>
      </c>
      <c r="H48">
        <v>-1.9201459999999999</v>
      </c>
      <c r="I48">
        <v>-2.1690119999999999</v>
      </c>
      <c r="J48">
        <v>-1.9948680000000001</v>
      </c>
      <c r="K48">
        <v>-2.2629609999999998</v>
      </c>
      <c r="L48">
        <v>-2.1778200000000001</v>
      </c>
      <c r="M48">
        <v>-2.1145429999999998</v>
      </c>
      <c r="N48" s="11">
        <f t="shared" si="4"/>
        <v>-0.38578906333333335</v>
      </c>
      <c r="O48" s="11">
        <f t="shared" si="5"/>
        <v>-1.0151193333333333</v>
      </c>
      <c r="P48" s="11">
        <f t="shared" si="6"/>
        <v>-2.1452163333333334</v>
      </c>
      <c r="Q48" s="11">
        <f t="shared" si="7"/>
        <v>-2.0429133333333334</v>
      </c>
    </row>
    <row r="49" spans="1:17" x14ac:dyDescent="0.25">
      <c r="A49">
        <v>1948</v>
      </c>
      <c r="B49">
        <v>-1.8383590000000001</v>
      </c>
      <c r="C49">
        <v>-2.1758380000000002</v>
      </c>
      <c r="D49">
        <v>-2.1732239999999998</v>
      </c>
      <c r="E49">
        <v>-1.7067369999999999</v>
      </c>
      <c r="F49">
        <v>-2.4397799999999998</v>
      </c>
      <c r="G49">
        <v>-2.3165930000000001</v>
      </c>
      <c r="H49">
        <v>0.77243309999999998</v>
      </c>
      <c r="I49">
        <v>-0.7309639</v>
      </c>
      <c r="J49">
        <v>0.87723689999999999</v>
      </c>
      <c r="K49">
        <v>-0.2040778</v>
      </c>
      <c r="L49">
        <v>-0.70246200000000003</v>
      </c>
      <c r="M49">
        <v>-0.43462390000000001</v>
      </c>
      <c r="N49" s="11">
        <f t="shared" si="4"/>
        <v>-2.1065803333333331</v>
      </c>
      <c r="O49" s="11">
        <f t="shared" si="5"/>
        <v>-0.75837460000000012</v>
      </c>
      <c r="P49" s="11">
        <f t="shared" si="6"/>
        <v>-9.7676333333333396E-3</v>
      </c>
      <c r="Q49" s="11">
        <f t="shared" si="7"/>
        <v>0.31205536666666661</v>
      </c>
    </row>
    <row r="50" spans="1:17" x14ac:dyDescent="0.25">
      <c r="A50">
        <v>1949</v>
      </c>
      <c r="B50">
        <v>-0.63854999999999995</v>
      </c>
      <c r="C50">
        <v>2.0093399999999999</v>
      </c>
      <c r="D50">
        <v>4.0847619999999996</v>
      </c>
      <c r="E50">
        <v>3.9341849999999998</v>
      </c>
      <c r="F50">
        <v>6.8489690000000003</v>
      </c>
      <c r="G50">
        <v>8.3386750000000003</v>
      </c>
      <c r="H50">
        <v>-1.7905089999999999</v>
      </c>
      <c r="I50">
        <v>-2.7867139999999999</v>
      </c>
      <c r="J50">
        <v>-3.5328360000000001</v>
      </c>
      <c r="K50">
        <v>-4.5608079999999998</v>
      </c>
      <c r="L50">
        <v>-4.7566369999999996</v>
      </c>
      <c r="M50">
        <v>-4.131634</v>
      </c>
      <c r="N50" s="11">
        <f t="shared" si="4"/>
        <v>4.955972</v>
      </c>
      <c r="O50" s="11">
        <f t="shared" si="5"/>
        <v>1.2538173333333333</v>
      </c>
      <c r="P50" s="11">
        <f t="shared" si="6"/>
        <v>-4.2834269999999997</v>
      </c>
      <c r="Q50" s="11">
        <f t="shared" si="7"/>
        <v>-4.2399336666666665</v>
      </c>
    </row>
    <row r="51" spans="1:17" x14ac:dyDescent="0.25">
      <c r="A51">
        <v>1950</v>
      </c>
      <c r="B51">
        <v>-4.4973450000000001</v>
      </c>
      <c r="C51">
        <v>-4.0908220000000002</v>
      </c>
      <c r="D51">
        <v>0.18523870000000001</v>
      </c>
      <c r="E51">
        <v>0.73397060000000003</v>
      </c>
      <c r="F51">
        <v>1.533682</v>
      </c>
      <c r="G51">
        <v>2.8809520000000002</v>
      </c>
      <c r="H51">
        <v>2.4635639999999999</v>
      </c>
      <c r="I51">
        <v>3.415082</v>
      </c>
      <c r="J51">
        <v>3.353307</v>
      </c>
      <c r="K51">
        <v>2.7960310000000002</v>
      </c>
      <c r="L51">
        <v>3.1233230000000001</v>
      </c>
      <c r="M51">
        <v>3.1959019999999998</v>
      </c>
      <c r="N51" s="11">
        <f t="shared" si="4"/>
        <v>0.81763043333333341</v>
      </c>
      <c r="O51" s="11">
        <f t="shared" si="5"/>
        <v>2.9198660000000003</v>
      </c>
      <c r="P51" s="11">
        <f t="shared" si="6"/>
        <v>3.0908869999999999</v>
      </c>
      <c r="Q51" s="11">
        <f t="shared" si="7"/>
        <v>3.7169163333333333</v>
      </c>
    </row>
    <row r="52" spans="1:17" x14ac:dyDescent="0.25">
      <c r="A52">
        <v>1951</v>
      </c>
      <c r="B52">
        <v>3.9480249999999999</v>
      </c>
      <c r="C52">
        <v>4.0068219999999997</v>
      </c>
      <c r="D52">
        <v>3.4686780000000002</v>
      </c>
      <c r="E52">
        <v>2.2962009999999999</v>
      </c>
      <c r="F52">
        <v>5.2180710000000001</v>
      </c>
      <c r="G52">
        <v>5.721457</v>
      </c>
      <c r="H52">
        <v>5.2574550000000002</v>
      </c>
      <c r="I52">
        <v>4.0633379999999999</v>
      </c>
      <c r="J52">
        <v>4.5999280000000002</v>
      </c>
      <c r="K52">
        <v>3.9494419999999999</v>
      </c>
      <c r="L52">
        <v>4.2574560000000004</v>
      </c>
      <c r="M52">
        <v>3.6863359999999998</v>
      </c>
      <c r="N52" s="11">
        <f t="shared" si="4"/>
        <v>3.6609833333333337</v>
      </c>
      <c r="O52" s="11">
        <f t="shared" si="5"/>
        <v>5.0140833333333337</v>
      </c>
      <c r="P52" s="11">
        <f t="shared" si="6"/>
        <v>4.268942</v>
      </c>
      <c r="Q52" s="11">
        <f t="shared" si="7"/>
        <v>2.7975696666666665</v>
      </c>
    </row>
    <row r="53" spans="1:17" x14ac:dyDescent="0.25">
      <c r="A53">
        <v>1952</v>
      </c>
      <c r="B53">
        <v>2.6056979999999998</v>
      </c>
      <c r="C53">
        <v>2.1006749999999998</v>
      </c>
      <c r="D53">
        <v>4.6191420000000001</v>
      </c>
      <c r="E53">
        <v>-0.43370809999999999</v>
      </c>
      <c r="F53">
        <v>-6.4327540000000002E-2</v>
      </c>
      <c r="G53">
        <v>-1.068748</v>
      </c>
      <c r="H53">
        <v>-1.818678</v>
      </c>
      <c r="I53">
        <v>-2.277971</v>
      </c>
      <c r="J53">
        <v>-2.1344889999999999</v>
      </c>
      <c r="K53">
        <v>-2.1181909999999999</v>
      </c>
      <c r="L53">
        <v>-2.1585529999999999</v>
      </c>
      <c r="M53">
        <v>-2.6235710000000001</v>
      </c>
      <c r="N53" s="11">
        <f t="shared" si="4"/>
        <v>1.3737021200000001</v>
      </c>
      <c r="O53" s="11">
        <f t="shared" si="5"/>
        <v>-1.7217990000000001</v>
      </c>
      <c r="P53" s="11">
        <f t="shared" si="6"/>
        <v>-2.1370776666666664</v>
      </c>
      <c r="Q53" s="11">
        <f t="shared" si="7"/>
        <v>-0.15332360000000009</v>
      </c>
    </row>
    <row r="54" spans="1:17" x14ac:dyDescent="0.25">
      <c r="A54">
        <v>1953</v>
      </c>
      <c r="B54">
        <v>1.2013339999999999</v>
      </c>
      <c r="C54">
        <v>0.96226619999999996</v>
      </c>
      <c r="D54">
        <v>1.166309</v>
      </c>
      <c r="E54">
        <v>0.53884699999999996</v>
      </c>
      <c r="F54">
        <v>1.694974</v>
      </c>
      <c r="G54">
        <v>1.4973179999999999</v>
      </c>
      <c r="H54">
        <v>1.8933230000000001</v>
      </c>
      <c r="I54">
        <v>2.930447</v>
      </c>
      <c r="J54">
        <v>4.7001309999999998</v>
      </c>
      <c r="K54">
        <v>-0.42732870000000001</v>
      </c>
      <c r="L54">
        <v>-0.85130470000000003</v>
      </c>
      <c r="M54">
        <v>-1.345899</v>
      </c>
      <c r="N54" s="11">
        <f t="shared" si="4"/>
        <v>1.1333766666666667</v>
      </c>
      <c r="O54" s="11">
        <f t="shared" si="5"/>
        <v>2.1070293333333332</v>
      </c>
      <c r="P54" s="11">
        <f t="shared" si="6"/>
        <v>1.1404991999999998</v>
      </c>
      <c r="Q54" s="11">
        <f t="shared" si="7"/>
        <v>-1.8193523333333335</v>
      </c>
    </row>
    <row r="55" spans="1:17" x14ac:dyDescent="0.25">
      <c r="A55">
        <v>1954</v>
      </c>
      <c r="B55">
        <v>-2.0443129999999998</v>
      </c>
      <c r="C55">
        <v>-2.0678450000000002</v>
      </c>
      <c r="D55">
        <v>-2.584158</v>
      </c>
      <c r="E55">
        <v>-2.0925769999999999</v>
      </c>
      <c r="F55">
        <v>-2.1529029999999998</v>
      </c>
      <c r="G55">
        <v>-2.15083</v>
      </c>
      <c r="H55">
        <v>0.74912889999999999</v>
      </c>
      <c r="I55">
        <v>1.0144169999999999</v>
      </c>
      <c r="J55">
        <v>1.1277280000000001</v>
      </c>
      <c r="K55">
        <v>-0.15167439999999999</v>
      </c>
      <c r="L55">
        <v>-0.61647160000000001</v>
      </c>
      <c r="M55">
        <v>0.22544790000000001</v>
      </c>
      <c r="N55" s="11">
        <f t="shared" si="4"/>
        <v>-2.2765459999999997</v>
      </c>
      <c r="O55" s="11">
        <f t="shared" si="5"/>
        <v>-0.12909470000000001</v>
      </c>
      <c r="P55" s="11">
        <f t="shared" si="6"/>
        <v>0.11986066666666668</v>
      </c>
      <c r="Q55" s="11">
        <f t="shared" si="7"/>
        <v>0.51214053333333343</v>
      </c>
    </row>
    <row r="56" spans="1:17" x14ac:dyDescent="0.25">
      <c r="A56">
        <v>1955</v>
      </c>
      <c r="B56">
        <v>0.36311539999999998</v>
      </c>
      <c r="C56">
        <v>0.94785830000000004</v>
      </c>
      <c r="D56">
        <v>0.56405510000000003</v>
      </c>
      <c r="E56">
        <v>1.3338190000000001</v>
      </c>
      <c r="F56">
        <v>-1.1970259999999999</v>
      </c>
      <c r="G56">
        <v>-0.75171279999999996</v>
      </c>
      <c r="H56">
        <v>-1.1141209999999999</v>
      </c>
      <c r="I56">
        <v>-1.3325990000000001</v>
      </c>
      <c r="J56">
        <v>-1.78284</v>
      </c>
      <c r="K56">
        <v>-2.375092</v>
      </c>
      <c r="L56">
        <v>-2.7933219999999999</v>
      </c>
      <c r="M56">
        <v>1.2305250000000001</v>
      </c>
      <c r="N56" s="11">
        <f t="shared" si="4"/>
        <v>0.23361603333333339</v>
      </c>
      <c r="O56" s="11">
        <f t="shared" si="5"/>
        <v>-1.0661442666666667</v>
      </c>
      <c r="P56" s="11">
        <f t="shared" si="6"/>
        <v>-2.3170846666666667</v>
      </c>
      <c r="Q56" s="11">
        <f t="shared" si="7"/>
        <v>1.8162316666666667</v>
      </c>
    </row>
    <row r="57" spans="1:17" x14ac:dyDescent="0.25">
      <c r="A57">
        <v>1956</v>
      </c>
      <c r="B57">
        <v>2.1052559999999998</v>
      </c>
      <c r="C57">
        <v>2.112914</v>
      </c>
      <c r="D57">
        <v>2.700615</v>
      </c>
      <c r="E57">
        <v>2.7481650000000002</v>
      </c>
      <c r="F57">
        <v>-0.5347151</v>
      </c>
      <c r="G57">
        <v>-1.572287</v>
      </c>
      <c r="H57">
        <v>-1.835669</v>
      </c>
      <c r="I57">
        <v>-2.1534810000000002</v>
      </c>
      <c r="J57">
        <v>-2.2968829999999998</v>
      </c>
      <c r="K57">
        <v>-2.5167269999999999</v>
      </c>
      <c r="L57">
        <v>-2.8255530000000002</v>
      </c>
      <c r="M57">
        <v>-3.4366089999999998</v>
      </c>
      <c r="N57" s="11">
        <f t="shared" si="4"/>
        <v>1.6380216333333335</v>
      </c>
      <c r="O57" s="11">
        <f t="shared" si="5"/>
        <v>-1.8538123333333332</v>
      </c>
      <c r="P57" s="11">
        <f t="shared" si="6"/>
        <v>-2.5463876666666665</v>
      </c>
      <c r="Q57" s="11">
        <f t="shared" si="7"/>
        <v>-3.5763283333333331</v>
      </c>
    </row>
    <row r="58" spans="1:17" x14ac:dyDescent="0.25">
      <c r="A58">
        <v>1957</v>
      </c>
      <c r="B58">
        <v>-3.4622269999999999</v>
      </c>
      <c r="C58">
        <v>-3.830149</v>
      </c>
      <c r="D58">
        <v>-3.5293990000000002</v>
      </c>
      <c r="E58">
        <v>-3.8917660000000001</v>
      </c>
      <c r="F58">
        <v>-3.469144</v>
      </c>
      <c r="G58">
        <v>-3.4774150000000001</v>
      </c>
      <c r="H58">
        <v>-3.264278</v>
      </c>
      <c r="I58">
        <v>0.78190990000000005</v>
      </c>
      <c r="J58">
        <v>0.1817375</v>
      </c>
      <c r="K58">
        <v>0.32678000000000001</v>
      </c>
      <c r="L58">
        <v>0.1821836</v>
      </c>
      <c r="M58">
        <v>0.57795600000000003</v>
      </c>
      <c r="N58" s="11">
        <f t="shared" si="4"/>
        <v>-3.6301030000000001</v>
      </c>
      <c r="O58" s="11">
        <f t="shared" si="5"/>
        <v>-1.9865943666666663</v>
      </c>
      <c r="P58" s="11">
        <f t="shared" si="6"/>
        <v>0.23023369999999999</v>
      </c>
      <c r="Q58" s="11">
        <f t="shared" si="7"/>
        <v>0.16718902000000002</v>
      </c>
    </row>
    <row r="59" spans="1:17" x14ac:dyDescent="0.25">
      <c r="A59">
        <v>1958</v>
      </c>
      <c r="B59">
        <v>-5.399077E-2</v>
      </c>
      <c r="C59">
        <v>-2.2398169999999998E-2</v>
      </c>
      <c r="D59">
        <v>-0.66891970000000001</v>
      </c>
      <c r="E59">
        <v>0.2177798</v>
      </c>
      <c r="F59">
        <v>0.70906040000000004</v>
      </c>
      <c r="G59">
        <v>0.95133920000000005</v>
      </c>
      <c r="H59">
        <v>1.6159730000000001</v>
      </c>
      <c r="I59">
        <v>-0.48676940000000002</v>
      </c>
      <c r="J59">
        <v>-0.75577130000000003</v>
      </c>
      <c r="K59">
        <v>-1.34833</v>
      </c>
      <c r="L59">
        <v>0.96129569999999998</v>
      </c>
      <c r="M59">
        <v>-0.41507709999999998</v>
      </c>
      <c r="N59" s="11">
        <f t="shared" si="4"/>
        <v>8.5973499999999994E-2</v>
      </c>
      <c r="O59" s="11">
        <f t="shared" si="5"/>
        <v>0.6935142666666666</v>
      </c>
      <c r="P59" s="11">
        <f t="shared" si="6"/>
        <v>-0.38093519999999997</v>
      </c>
      <c r="Q59" s="11">
        <f t="shared" si="7"/>
        <v>-0.61372440000000006</v>
      </c>
    </row>
    <row r="60" spans="1:17" x14ac:dyDescent="0.25">
      <c r="A60">
        <v>1959</v>
      </c>
      <c r="B60">
        <v>-0.58587040000000001</v>
      </c>
      <c r="C60">
        <v>-0.84022569999999996</v>
      </c>
      <c r="D60">
        <v>0.89862980000000003</v>
      </c>
      <c r="E60">
        <v>2.176361</v>
      </c>
      <c r="F60">
        <v>2.3572929999999999</v>
      </c>
      <c r="G60">
        <v>1.2430429999999999</v>
      </c>
      <c r="H60">
        <v>1.040565</v>
      </c>
      <c r="I60">
        <v>0.69792880000000002</v>
      </c>
      <c r="J60">
        <v>1.2869619999999999</v>
      </c>
      <c r="K60">
        <v>2.1369120000000001</v>
      </c>
      <c r="L60">
        <v>-0.54653160000000001</v>
      </c>
      <c r="M60">
        <v>-1.538856</v>
      </c>
      <c r="N60" s="11">
        <f t="shared" si="4"/>
        <v>1.8107612666666668</v>
      </c>
      <c r="O60" s="11">
        <f t="shared" si="5"/>
        <v>0.99384560000000011</v>
      </c>
      <c r="P60" s="11">
        <f t="shared" si="6"/>
        <v>0.95911413333333329</v>
      </c>
      <c r="Q60" s="11">
        <f t="shared" si="7"/>
        <v>-1.6374093333333333</v>
      </c>
    </row>
    <row r="61" spans="1:17" x14ac:dyDescent="0.25">
      <c r="A61">
        <v>1960</v>
      </c>
      <c r="B61">
        <v>-1.543129</v>
      </c>
      <c r="C61">
        <v>-1.8302430000000001</v>
      </c>
      <c r="D61">
        <v>-1.8490219999999999</v>
      </c>
      <c r="E61">
        <v>-1.6094349999999999</v>
      </c>
      <c r="F61">
        <v>-2.3062480000000001</v>
      </c>
      <c r="G61">
        <v>-1.9627159999999999</v>
      </c>
      <c r="H61">
        <v>-1.5309159999999999</v>
      </c>
      <c r="I61">
        <v>-1.886028</v>
      </c>
      <c r="J61">
        <v>-2.0475750000000001</v>
      </c>
      <c r="K61">
        <v>0.84396740000000003</v>
      </c>
      <c r="L61">
        <v>0.47784130000000002</v>
      </c>
      <c r="M61">
        <v>0.33970410000000001</v>
      </c>
      <c r="N61" s="11">
        <f t="shared" si="4"/>
        <v>-1.9215683333333333</v>
      </c>
      <c r="O61" s="11">
        <f t="shared" si="5"/>
        <v>-1.7932199999999998</v>
      </c>
      <c r="P61" s="11">
        <f t="shared" si="6"/>
        <v>-0.24192210000000006</v>
      </c>
      <c r="Q61" s="11">
        <f t="shared" si="7"/>
        <v>0.9590860333333332</v>
      </c>
    </row>
    <row r="62" spans="1:17" x14ac:dyDescent="0.25">
      <c r="A62">
        <v>1961</v>
      </c>
      <c r="B62">
        <v>1.29765</v>
      </c>
      <c r="C62">
        <v>1.2399039999999999</v>
      </c>
      <c r="D62">
        <v>-0.31658649999999999</v>
      </c>
      <c r="E62">
        <v>-0.50117299999999998</v>
      </c>
      <c r="F62">
        <v>0.13542470000000001</v>
      </c>
      <c r="G62">
        <v>0.4761688</v>
      </c>
      <c r="H62">
        <v>0.84704659999999998</v>
      </c>
      <c r="I62">
        <v>0.86661310000000003</v>
      </c>
      <c r="J62">
        <v>1.5301039999999999</v>
      </c>
      <c r="K62">
        <v>-0.42632360000000002</v>
      </c>
      <c r="L62">
        <v>-0.76523110000000005</v>
      </c>
      <c r="M62">
        <v>-1.4487350000000001</v>
      </c>
      <c r="N62" s="11">
        <f t="shared" si="4"/>
        <v>-0.22744493333333335</v>
      </c>
      <c r="O62" s="11">
        <f t="shared" si="5"/>
        <v>0.72994283333333332</v>
      </c>
      <c r="P62" s="11">
        <f t="shared" si="6"/>
        <v>0.11284976666666657</v>
      </c>
      <c r="Q62" s="11">
        <f t="shared" si="7"/>
        <v>-1.8766360000000002</v>
      </c>
    </row>
    <row r="63" spans="1:17" x14ac:dyDescent="0.25">
      <c r="A63">
        <v>1962</v>
      </c>
      <c r="B63">
        <v>-1.8489530000000001</v>
      </c>
      <c r="C63">
        <v>-2.33222</v>
      </c>
      <c r="D63">
        <v>-2.5344799999999998</v>
      </c>
      <c r="E63">
        <v>-2.546627</v>
      </c>
      <c r="F63">
        <v>-3.7527339999999998</v>
      </c>
      <c r="G63">
        <v>-4.0726180000000003</v>
      </c>
      <c r="H63">
        <v>-5.132981</v>
      </c>
      <c r="I63">
        <v>-3.759951</v>
      </c>
      <c r="J63">
        <v>-3.7477390000000002</v>
      </c>
      <c r="K63">
        <v>-3.948229</v>
      </c>
      <c r="L63">
        <v>-3.4067690000000002</v>
      </c>
      <c r="M63">
        <v>-3.373243</v>
      </c>
      <c r="N63" s="11">
        <f t="shared" si="4"/>
        <v>-2.9446136666666667</v>
      </c>
      <c r="O63" s="11">
        <f t="shared" si="5"/>
        <v>-4.3218500000000004</v>
      </c>
      <c r="P63" s="11">
        <f t="shared" si="6"/>
        <v>-3.7009123333333336</v>
      </c>
      <c r="Q63" s="11">
        <f t="shared" si="7"/>
        <v>-3.3884706666666666</v>
      </c>
    </row>
    <row r="64" spans="1:17" x14ac:dyDescent="0.25">
      <c r="A64">
        <v>1963</v>
      </c>
      <c r="B64">
        <v>-3.3591160000000002</v>
      </c>
      <c r="C64">
        <v>-3.4330530000000001</v>
      </c>
      <c r="D64">
        <v>0.28204659999999998</v>
      </c>
      <c r="E64">
        <v>1.3638520000000001</v>
      </c>
      <c r="F64">
        <v>1.005649</v>
      </c>
      <c r="G64">
        <v>1.0112099999999999</v>
      </c>
      <c r="H64">
        <v>0.62743610000000005</v>
      </c>
      <c r="I64">
        <v>0.83315600000000001</v>
      </c>
      <c r="J64">
        <v>1.8681859999999999</v>
      </c>
      <c r="K64">
        <v>2.4386670000000001</v>
      </c>
      <c r="L64">
        <v>2.739916</v>
      </c>
      <c r="M64">
        <v>2.4019810000000001</v>
      </c>
      <c r="N64" s="11">
        <f t="shared" si="4"/>
        <v>0.88384919999999989</v>
      </c>
      <c r="O64" s="11">
        <f t="shared" si="5"/>
        <v>0.82393403333333326</v>
      </c>
      <c r="P64" s="11">
        <f t="shared" si="6"/>
        <v>2.3489230000000001</v>
      </c>
      <c r="Q64" s="11">
        <f t="shared" si="7"/>
        <v>2.2706036666666667</v>
      </c>
    </row>
    <row r="65" spans="1:17" x14ac:dyDescent="0.25">
      <c r="A65">
        <v>1964</v>
      </c>
      <c r="B65">
        <v>2.066478</v>
      </c>
      <c r="C65">
        <v>2.3433519999999999</v>
      </c>
      <c r="D65">
        <v>-0.4687885</v>
      </c>
      <c r="E65">
        <v>-0.1040845</v>
      </c>
      <c r="F65">
        <v>-0.3381962</v>
      </c>
      <c r="G65">
        <v>-0.90871659999999999</v>
      </c>
      <c r="H65">
        <v>-1.8326610000000001</v>
      </c>
      <c r="I65">
        <v>0.33052870000000001</v>
      </c>
      <c r="J65">
        <v>0.5937557</v>
      </c>
      <c r="K65">
        <v>0.30005389999999998</v>
      </c>
      <c r="L65">
        <v>1.184878E-2</v>
      </c>
      <c r="M65">
        <v>0.60112350000000003</v>
      </c>
      <c r="N65" s="11">
        <f t="shared" si="4"/>
        <v>-0.30368973333333332</v>
      </c>
      <c r="O65" s="11">
        <f t="shared" si="5"/>
        <v>-0.80361629999999995</v>
      </c>
      <c r="P65" s="11">
        <f t="shared" si="6"/>
        <v>0.30188612666666664</v>
      </c>
      <c r="Q65" s="11">
        <f t="shared" si="7"/>
        <v>1.2073322666666666</v>
      </c>
    </row>
    <row r="66" spans="1:17" x14ac:dyDescent="0.25">
      <c r="A66">
        <v>1965</v>
      </c>
      <c r="B66">
        <v>0.79592229999999997</v>
      </c>
      <c r="C66">
        <v>2.2249509999999999</v>
      </c>
      <c r="D66">
        <v>1.88802</v>
      </c>
      <c r="E66">
        <v>2.5844369999999999</v>
      </c>
      <c r="F66">
        <v>2.1369020000000001</v>
      </c>
      <c r="G66">
        <v>3.284103</v>
      </c>
      <c r="H66">
        <v>3.1701779999999999</v>
      </c>
      <c r="I66">
        <v>3.2091669999999999</v>
      </c>
      <c r="J66">
        <v>1.6866540000000001</v>
      </c>
      <c r="K66">
        <v>2.0337139999999998</v>
      </c>
      <c r="L66">
        <v>3.4346719999999999</v>
      </c>
      <c r="M66">
        <v>3.3389289999999998</v>
      </c>
      <c r="N66" s="11">
        <f t="shared" si="4"/>
        <v>2.2031196666666668</v>
      </c>
      <c r="O66" s="11">
        <f t="shared" si="5"/>
        <v>3.221149333333333</v>
      </c>
      <c r="P66" s="11">
        <f t="shared" si="6"/>
        <v>2.3850133333333332</v>
      </c>
      <c r="Q66" s="11">
        <f t="shared" si="7"/>
        <v>2.5703276666666666</v>
      </c>
    </row>
    <row r="67" spans="1:17" x14ac:dyDescent="0.25">
      <c r="A67">
        <v>1966</v>
      </c>
      <c r="B67">
        <v>2.6479789999999999</v>
      </c>
      <c r="C67">
        <v>1.724075</v>
      </c>
      <c r="D67">
        <v>2.1438429999999999</v>
      </c>
      <c r="E67">
        <v>2.7614160000000001</v>
      </c>
      <c r="F67">
        <v>3.0028800000000002</v>
      </c>
      <c r="G67">
        <v>3.7430780000000001</v>
      </c>
      <c r="H67">
        <v>3.318946</v>
      </c>
      <c r="I67">
        <v>-1.0588679999999999</v>
      </c>
      <c r="J67">
        <v>-1.792333</v>
      </c>
      <c r="K67">
        <v>-1.875958</v>
      </c>
      <c r="L67">
        <v>-1.8987309999999999</v>
      </c>
      <c r="M67">
        <v>1.6805140000000001</v>
      </c>
      <c r="N67" s="11">
        <f t="shared" si="4"/>
        <v>2.6360463333333333</v>
      </c>
      <c r="O67" s="11">
        <f t="shared" si="5"/>
        <v>2.0010520000000001</v>
      </c>
      <c r="P67" s="11">
        <f t="shared" si="6"/>
        <v>-1.8556739999999998</v>
      </c>
      <c r="Q67" s="11">
        <f t="shared" si="7"/>
        <v>2.1259313333333334</v>
      </c>
    </row>
    <row r="68" spans="1:17" x14ac:dyDescent="0.25">
      <c r="A68">
        <v>1967</v>
      </c>
      <c r="B68">
        <v>2.2424629999999999</v>
      </c>
      <c r="C68">
        <v>2.4548169999999998</v>
      </c>
      <c r="D68">
        <v>2.2775590000000001</v>
      </c>
      <c r="E68">
        <v>1.1826000000000001</v>
      </c>
      <c r="F68">
        <v>2.155659</v>
      </c>
      <c r="G68">
        <v>1.0815380000000001</v>
      </c>
      <c r="H68">
        <v>0.84136650000000002</v>
      </c>
      <c r="I68">
        <v>2.0223770000000001</v>
      </c>
      <c r="J68">
        <v>1.233835</v>
      </c>
      <c r="K68">
        <v>2.3946299999999998</v>
      </c>
      <c r="L68">
        <v>-0.22984009999999999</v>
      </c>
      <c r="M68">
        <v>-0.66096500000000002</v>
      </c>
      <c r="N68" s="11">
        <f t="shared" si="4"/>
        <v>1.8719393333333334</v>
      </c>
      <c r="O68" s="11">
        <f t="shared" si="5"/>
        <v>1.3150938333333333</v>
      </c>
      <c r="P68" s="11">
        <f t="shared" si="6"/>
        <v>1.1328749666666666</v>
      </c>
      <c r="Q68" s="11">
        <f t="shared" si="7"/>
        <v>-0.41393333333333326</v>
      </c>
    </row>
    <row r="69" spans="1:17" x14ac:dyDescent="0.25">
      <c r="A69">
        <v>1968</v>
      </c>
      <c r="B69">
        <v>-1.6174299999999999</v>
      </c>
      <c r="C69">
        <v>1.0365949999999999</v>
      </c>
      <c r="D69">
        <v>1.028432</v>
      </c>
      <c r="E69">
        <v>-0.60128720000000002</v>
      </c>
      <c r="F69">
        <v>-2.0192519999999998</v>
      </c>
      <c r="G69">
        <v>-3.3053020000000002</v>
      </c>
      <c r="H69">
        <v>-4</v>
      </c>
      <c r="I69">
        <v>-4.4374650000000004</v>
      </c>
      <c r="J69">
        <v>0.79430670000000003</v>
      </c>
      <c r="K69">
        <v>0.6034737</v>
      </c>
      <c r="L69">
        <v>0.43412000000000001</v>
      </c>
      <c r="M69">
        <v>1.2629889999999999</v>
      </c>
      <c r="N69" s="11">
        <f t="shared" si="4"/>
        <v>-0.53070239999999991</v>
      </c>
      <c r="O69" s="11">
        <f t="shared" si="5"/>
        <v>-3.914255666666667</v>
      </c>
      <c r="P69" s="11">
        <f t="shared" si="6"/>
        <v>0.61063346666666674</v>
      </c>
      <c r="Q69" s="11">
        <f t="shared" si="7"/>
        <v>0.82606496666666651</v>
      </c>
    </row>
    <row r="70" spans="1:17" x14ac:dyDescent="0.25">
      <c r="A70">
        <v>1969</v>
      </c>
      <c r="B70">
        <v>0.63909939999999998</v>
      </c>
      <c r="C70">
        <v>0.57610649999999997</v>
      </c>
      <c r="D70">
        <v>8.5151939999999995E-2</v>
      </c>
      <c r="E70">
        <v>0.86002480000000003</v>
      </c>
      <c r="F70">
        <v>0.46878690000000001</v>
      </c>
      <c r="G70">
        <v>0.1664552</v>
      </c>
      <c r="H70">
        <v>1.2205010000000001</v>
      </c>
      <c r="I70">
        <v>2.2569159999999999</v>
      </c>
      <c r="J70">
        <v>2.8598439999999998</v>
      </c>
      <c r="K70">
        <v>3.1586069999999999</v>
      </c>
      <c r="L70">
        <v>2.7798180000000001</v>
      </c>
      <c r="M70">
        <v>-0.58892999999999995</v>
      </c>
      <c r="N70" s="11">
        <f t="shared" si="4"/>
        <v>0.47132121333333332</v>
      </c>
      <c r="O70" s="11">
        <f t="shared" si="5"/>
        <v>1.2146240666666666</v>
      </c>
      <c r="P70" s="11">
        <f t="shared" si="6"/>
        <v>2.9327563333333333</v>
      </c>
      <c r="Q70" s="11">
        <f t="shared" si="7"/>
        <v>-0.75513989999999998</v>
      </c>
    </row>
    <row r="71" spans="1:17" x14ac:dyDescent="0.25">
      <c r="A71">
        <v>1970</v>
      </c>
      <c r="B71">
        <v>-0.63894070000000003</v>
      </c>
      <c r="C71">
        <v>-1.0375490000000001</v>
      </c>
      <c r="D71">
        <v>-1.208019</v>
      </c>
      <c r="E71">
        <v>0.62086330000000001</v>
      </c>
      <c r="F71">
        <v>0.8972677</v>
      </c>
      <c r="G71">
        <v>0.71305510000000005</v>
      </c>
      <c r="H71">
        <v>1.0332589999999999</v>
      </c>
      <c r="I71">
        <v>-0.29522700000000002</v>
      </c>
      <c r="J71">
        <v>-0.40338089999999999</v>
      </c>
      <c r="K71">
        <v>-1.007852</v>
      </c>
      <c r="L71">
        <v>-1.397297</v>
      </c>
      <c r="M71">
        <v>0.4334576</v>
      </c>
      <c r="N71" s="11">
        <f t="shared" si="4"/>
        <v>0.10337066666666668</v>
      </c>
      <c r="O71" s="11">
        <f t="shared" si="5"/>
        <v>0.48369570000000001</v>
      </c>
      <c r="P71" s="11">
        <f t="shared" si="6"/>
        <v>-0.93617663333333334</v>
      </c>
      <c r="Q71" s="11">
        <f t="shared" si="7"/>
        <v>0.74528030000000012</v>
      </c>
    </row>
    <row r="72" spans="1:17" x14ac:dyDescent="0.25">
      <c r="A72">
        <v>1971</v>
      </c>
      <c r="B72">
        <v>0.73113830000000002</v>
      </c>
      <c r="C72">
        <v>1.071245</v>
      </c>
      <c r="D72">
        <v>6.1241389999999998E-3</v>
      </c>
      <c r="E72">
        <v>-0.33940429999999999</v>
      </c>
      <c r="F72">
        <v>-0.57899750000000005</v>
      </c>
      <c r="G72">
        <v>-0.66153989999999996</v>
      </c>
      <c r="H72">
        <v>0.8989916</v>
      </c>
      <c r="I72">
        <v>1.342452</v>
      </c>
      <c r="J72">
        <v>-8.3490030000000007E-2</v>
      </c>
      <c r="K72">
        <v>-0.84883560000000002</v>
      </c>
      <c r="L72">
        <v>-1.036727</v>
      </c>
      <c r="M72">
        <v>0.63959869999999996</v>
      </c>
      <c r="N72" s="11">
        <f t="shared" si="4"/>
        <v>-0.30409255366666671</v>
      </c>
      <c r="O72" s="11">
        <f t="shared" si="5"/>
        <v>0.52663456666666664</v>
      </c>
      <c r="P72" s="11">
        <f t="shared" si="6"/>
        <v>-0.65635087666666669</v>
      </c>
      <c r="Q72" s="11">
        <f t="shared" si="7"/>
        <v>0.37091746666666675</v>
      </c>
    </row>
    <row r="73" spans="1:17" x14ac:dyDescent="0.25">
      <c r="A73">
        <v>1972</v>
      </c>
      <c r="B73">
        <v>0.75579090000000004</v>
      </c>
      <c r="C73">
        <v>-0.28263719999999998</v>
      </c>
      <c r="D73">
        <v>-3.7363169999999999E-3</v>
      </c>
      <c r="E73">
        <v>-0.72183129999999995</v>
      </c>
      <c r="F73">
        <v>0.92461130000000002</v>
      </c>
      <c r="G73">
        <v>1.263749</v>
      </c>
      <c r="H73">
        <v>1.271023</v>
      </c>
      <c r="I73">
        <v>1.3219799999999999</v>
      </c>
      <c r="J73">
        <v>1.2799240000000001</v>
      </c>
      <c r="K73">
        <v>1.8248040000000001</v>
      </c>
      <c r="L73">
        <v>-0.26085190000000003</v>
      </c>
      <c r="M73">
        <v>-0.78679790000000005</v>
      </c>
      <c r="N73" s="11">
        <f t="shared" si="4"/>
        <v>6.6347894333333365E-2</v>
      </c>
      <c r="O73" s="11">
        <f t="shared" si="5"/>
        <v>1.2855840000000001</v>
      </c>
      <c r="P73" s="11">
        <f t="shared" si="6"/>
        <v>0.94795870000000004</v>
      </c>
      <c r="Q73" s="11">
        <f t="shared" si="7"/>
        <v>-0.71018353333333339</v>
      </c>
    </row>
    <row r="74" spans="1:17" x14ac:dyDescent="0.25">
      <c r="A74">
        <v>1973</v>
      </c>
      <c r="B74">
        <v>-0.50526610000000005</v>
      </c>
      <c r="C74">
        <v>-0.83848659999999997</v>
      </c>
      <c r="D74">
        <v>-0.87824729999999995</v>
      </c>
      <c r="E74">
        <v>-0.88383080000000003</v>
      </c>
      <c r="F74">
        <v>-1.2904249999999999</v>
      </c>
      <c r="G74">
        <v>-0.64779850000000005</v>
      </c>
      <c r="H74">
        <v>-1.1349130000000001</v>
      </c>
      <c r="I74">
        <v>-1.102028</v>
      </c>
      <c r="J74">
        <v>-1.57717</v>
      </c>
      <c r="K74">
        <v>-0.89495309999999995</v>
      </c>
      <c r="L74">
        <v>-1.2888409999999999</v>
      </c>
      <c r="M74">
        <v>-1.628034</v>
      </c>
      <c r="N74" s="11">
        <f t="shared" si="4"/>
        <v>-1.0175010333333334</v>
      </c>
      <c r="O74" s="11">
        <f t="shared" si="5"/>
        <v>-0.96157983333333341</v>
      </c>
      <c r="P74" s="11">
        <f t="shared" si="6"/>
        <v>-1.2536547</v>
      </c>
      <c r="Q74" s="11">
        <f t="shared" si="7"/>
        <v>9.3852933333333333E-2</v>
      </c>
    </row>
    <row r="75" spans="1:17" x14ac:dyDescent="0.25">
      <c r="A75">
        <v>1974</v>
      </c>
      <c r="B75">
        <v>0.82989380000000001</v>
      </c>
      <c r="C75">
        <v>1.079699</v>
      </c>
      <c r="D75">
        <v>1.347507</v>
      </c>
      <c r="E75">
        <v>-1.0352269999999999</v>
      </c>
      <c r="F75">
        <v>-1.052691</v>
      </c>
      <c r="G75">
        <v>-0.80188979999999999</v>
      </c>
      <c r="H75">
        <v>-1.3389180000000001</v>
      </c>
      <c r="I75">
        <v>-1.5369969999999999</v>
      </c>
      <c r="J75">
        <v>-1.8093079999999999</v>
      </c>
      <c r="K75">
        <v>-2.3513890000000002</v>
      </c>
      <c r="L75">
        <v>-2.0465650000000002</v>
      </c>
      <c r="M75">
        <v>-2.3252570000000001</v>
      </c>
      <c r="N75" s="11">
        <f t="shared" si="4"/>
        <v>-0.24680366666666664</v>
      </c>
      <c r="O75" s="11">
        <f t="shared" si="5"/>
        <v>-1.2259349333333334</v>
      </c>
      <c r="P75" s="11">
        <f t="shared" si="6"/>
        <v>-2.0690873333333335</v>
      </c>
      <c r="Q75" s="11">
        <f t="shared" si="7"/>
        <v>-1.5367241</v>
      </c>
    </row>
    <row r="76" spans="1:17" x14ac:dyDescent="0.25">
      <c r="A76">
        <v>1975</v>
      </c>
      <c r="B76">
        <v>-2.8009719999999998</v>
      </c>
      <c r="C76">
        <v>0.51605670000000003</v>
      </c>
      <c r="D76">
        <v>0.74292219999999998</v>
      </c>
      <c r="E76">
        <v>1.388398</v>
      </c>
      <c r="F76">
        <v>-6.9031480000000006E-2</v>
      </c>
      <c r="G76">
        <v>-0.43226569999999997</v>
      </c>
      <c r="H76">
        <v>-0.33916059999999998</v>
      </c>
      <c r="I76">
        <v>-1.047302</v>
      </c>
      <c r="J76">
        <v>-1.159238</v>
      </c>
      <c r="K76">
        <v>-1.212191</v>
      </c>
      <c r="L76">
        <v>0.48088370000000003</v>
      </c>
      <c r="M76">
        <v>0.60778270000000001</v>
      </c>
      <c r="N76" s="11">
        <f t="shared" si="4"/>
        <v>0.68742957333333343</v>
      </c>
      <c r="O76" s="11">
        <f t="shared" si="5"/>
        <v>-0.60624276666666665</v>
      </c>
      <c r="P76" s="11">
        <f t="shared" si="6"/>
        <v>-0.63018176666666659</v>
      </c>
      <c r="Q76" s="11">
        <f t="shared" si="7"/>
        <v>0.85101660000000001</v>
      </c>
    </row>
    <row r="77" spans="1:17" x14ac:dyDescent="0.25">
      <c r="A77">
        <v>1976</v>
      </c>
      <c r="B77">
        <v>0.98508609999999996</v>
      </c>
      <c r="C77">
        <v>0.96018099999999995</v>
      </c>
      <c r="D77">
        <v>-0.33985739999999998</v>
      </c>
      <c r="E77">
        <v>-0.94121290000000002</v>
      </c>
      <c r="F77">
        <v>-1.6249579999999999</v>
      </c>
      <c r="G77">
        <v>0.98969479999999999</v>
      </c>
      <c r="H77">
        <v>-0.43753799999999998</v>
      </c>
      <c r="I77">
        <v>-1.3078419999999999</v>
      </c>
      <c r="J77">
        <v>-1.763244</v>
      </c>
      <c r="K77">
        <v>-1.6744889999999999</v>
      </c>
      <c r="L77">
        <v>-1.618986</v>
      </c>
      <c r="M77">
        <v>0.54325610000000002</v>
      </c>
      <c r="N77" s="11">
        <f t="shared" si="4"/>
        <v>-0.96867610000000004</v>
      </c>
      <c r="O77" s="11">
        <f t="shared" si="5"/>
        <v>-0.25189506666666667</v>
      </c>
      <c r="P77" s="11">
        <f t="shared" si="6"/>
        <v>-1.6855729999999998</v>
      </c>
      <c r="Q77" s="11">
        <f t="shared" si="7"/>
        <v>0.5286502666666667</v>
      </c>
    </row>
    <row r="78" spans="1:17" x14ac:dyDescent="0.25">
      <c r="A78">
        <v>1977</v>
      </c>
      <c r="B78">
        <v>0.63642509999999997</v>
      </c>
      <c r="C78">
        <v>0.40626960000000001</v>
      </c>
      <c r="D78">
        <v>8.4297419999999998E-2</v>
      </c>
      <c r="E78">
        <v>0.41181960000000001</v>
      </c>
      <c r="F78">
        <v>0.74565179999999998</v>
      </c>
      <c r="G78">
        <v>2.1266440000000002</v>
      </c>
      <c r="H78">
        <v>3.014974</v>
      </c>
      <c r="I78">
        <v>1.905594</v>
      </c>
      <c r="J78">
        <v>1.637327</v>
      </c>
      <c r="K78">
        <v>1.901259</v>
      </c>
      <c r="L78">
        <v>3.3697219999999999</v>
      </c>
      <c r="M78">
        <v>3.2174689999999999</v>
      </c>
      <c r="N78" s="11">
        <f t="shared" si="4"/>
        <v>0.41392293999999996</v>
      </c>
      <c r="O78" s="11">
        <f t="shared" si="5"/>
        <v>2.3490706666666665</v>
      </c>
      <c r="P78" s="11">
        <f t="shared" si="6"/>
        <v>2.3027693333333334</v>
      </c>
      <c r="Q78" s="11">
        <f t="shared" si="7"/>
        <v>3.1996300000000004</v>
      </c>
    </row>
    <row r="79" spans="1:17" x14ac:dyDescent="0.25">
      <c r="A79">
        <v>1978</v>
      </c>
      <c r="B79">
        <v>3.2814489999999998</v>
      </c>
      <c r="C79">
        <v>3.0999720000000002</v>
      </c>
      <c r="D79">
        <v>-0.32691160000000002</v>
      </c>
      <c r="E79">
        <v>-1.494923</v>
      </c>
      <c r="F79">
        <v>-1.2149129999999999</v>
      </c>
      <c r="G79">
        <v>-1.394185</v>
      </c>
      <c r="H79">
        <v>1.9537610000000001</v>
      </c>
      <c r="I79">
        <v>0.64046999999999998</v>
      </c>
      <c r="J79">
        <v>1.0629550000000001</v>
      </c>
      <c r="K79">
        <v>2.6138690000000002</v>
      </c>
      <c r="L79">
        <v>2.3144800000000001</v>
      </c>
      <c r="M79">
        <v>-0.96945150000000002</v>
      </c>
      <c r="N79" s="11">
        <f t="shared" si="4"/>
        <v>-1.0122492000000001</v>
      </c>
      <c r="O79" s="11">
        <f t="shared" si="5"/>
        <v>0.40001533333333333</v>
      </c>
      <c r="P79" s="11">
        <f t="shared" si="6"/>
        <v>1.9971013333333334</v>
      </c>
      <c r="Q79" s="11">
        <f t="shared" si="7"/>
        <v>-1.806964833333333</v>
      </c>
    </row>
    <row r="80" spans="1:17" x14ac:dyDescent="0.25">
      <c r="A80">
        <v>1979</v>
      </c>
      <c r="B80">
        <v>-1.953557</v>
      </c>
      <c r="C80">
        <v>-2.4978859999999998</v>
      </c>
      <c r="D80">
        <v>-2.7136019999999998</v>
      </c>
      <c r="E80">
        <v>-3.2206790000000001</v>
      </c>
      <c r="F80">
        <v>-2.7136740000000001</v>
      </c>
      <c r="G80">
        <v>-3.281488</v>
      </c>
      <c r="H80">
        <v>-3.1231200000000001</v>
      </c>
      <c r="I80">
        <v>1.5596840000000001</v>
      </c>
      <c r="J80">
        <v>1.2011419999999999</v>
      </c>
      <c r="K80">
        <v>1.4553309999999999</v>
      </c>
      <c r="L80">
        <v>1.961571</v>
      </c>
      <c r="M80">
        <v>2.4687860000000001</v>
      </c>
      <c r="N80" s="11">
        <f t="shared" si="4"/>
        <v>-2.8826516666666664</v>
      </c>
      <c r="O80" s="11">
        <f t="shared" si="5"/>
        <v>-1.6149746666666667</v>
      </c>
      <c r="P80" s="11">
        <f t="shared" si="6"/>
        <v>1.5393480000000002</v>
      </c>
      <c r="Q80" s="11">
        <f t="shared" si="7"/>
        <v>2.7431306666666671</v>
      </c>
    </row>
    <row r="81" spans="1:17" x14ac:dyDescent="0.25">
      <c r="A81">
        <v>1980</v>
      </c>
      <c r="B81">
        <v>1.805599</v>
      </c>
      <c r="C81">
        <v>3.9550070000000002</v>
      </c>
      <c r="D81">
        <v>3.721838</v>
      </c>
      <c r="E81">
        <v>5.0312229999999998</v>
      </c>
      <c r="F81">
        <v>7.4185569999999998</v>
      </c>
      <c r="G81">
        <v>6.751601</v>
      </c>
      <c r="H81">
        <v>5.4032499999999999</v>
      </c>
      <c r="I81">
        <v>5.3692039999999999</v>
      </c>
      <c r="J81">
        <v>3.8526560000000001</v>
      </c>
      <c r="K81">
        <v>1.9793689999999999</v>
      </c>
      <c r="L81">
        <v>1.7376720000000001</v>
      </c>
      <c r="M81">
        <v>1.4302550000000001</v>
      </c>
      <c r="N81" s="11">
        <f t="shared" si="4"/>
        <v>5.3905393333333329</v>
      </c>
      <c r="O81" s="11">
        <f t="shared" si="5"/>
        <v>5.8413516666666672</v>
      </c>
      <c r="P81" s="11">
        <f t="shared" si="6"/>
        <v>2.5232323333333331</v>
      </c>
      <c r="Q81" s="11">
        <f t="shared" si="7"/>
        <v>1.3306433333333334</v>
      </c>
    </row>
    <row r="82" spans="1:17" x14ac:dyDescent="0.25">
      <c r="A82">
        <v>1981</v>
      </c>
      <c r="B82">
        <v>1.689549</v>
      </c>
      <c r="C82">
        <v>0.87212599999999996</v>
      </c>
      <c r="D82">
        <v>1.174749</v>
      </c>
      <c r="E82">
        <v>1.2546219999999999</v>
      </c>
      <c r="F82">
        <v>4.0051379999999996</v>
      </c>
      <c r="G82">
        <v>3.798489</v>
      </c>
      <c r="H82">
        <v>-0.79207890000000003</v>
      </c>
      <c r="I82">
        <v>-1.786016</v>
      </c>
      <c r="J82">
        <v>-1.102814</v>
      </c>
      <c r="K82">
        <v>-1.5058240000000001</v>
      </c>
      <c r="L82">
        <v>-1.9220759999999999</v>
      </c>
      <c r="M82">
        <v>-2.2333210000000001</v>
      </c>
      <c r="N82" s="11">
        <f t="shared" si="4"/>
        <v>2.1448363333333331</v>
      </c>
      <c r="O82" s="11">
        <f t="shared" si="5"/>
        <v>0.40679803333333336</v>
      </c>
      <c r="P82" s="11">
        <f t="shared" si="6"/>
        <v>-1.510238</v>
      </c>
      <c r="Q82" s="11">
        <f t="shared" si="7"/>
        <v>-2.3566180000000001</v>
      </c>
    </row>
    <row r="83" spans="1:17" x14ac:dyDescent="0.25">
      <c r="A83">
        <v>1982</v>
      </c>
      <c r="B83">
        <v>-2.4045239999999999</v>
      </c>
      <c r="C83">
        <v>-2.4320089999999999</v>
      </c>
      <c r="D83">
        <v>-2.3464489999999998</v>
      </c>
      <c r="E83">
        <v>-2.5263</v>
      </c>
      <c r="F83">
        <v>0.27079589999999998</v>
      </c>
      <c r="G83">
        <v>0.7308443</v>
      </c>
      <c r="H83">
        <v>0.93010809999999999</v>
      </c>
      <c r="I83">
        <v>0.89582419999999996</v>
      </c>
      <c r="J83">
        <v>1.2385900000000001</v>
      </c>
      <c r="K83">
        <v>3.5736459999999998E-2</v>
      </c>
      <c r="L83">
        <v>-0.1548495</v>
      </c>
      <c r="M83">
        <v>-0.9444977</v>
      </c>
      <c r="N83" s="11">
        <f t="shared" si="4"/>
        <v>-1.5339843666666664</v>
      </c>
      <c r="O83" s="11">
        <f t="shared" si="5"/>
        <v>0.85225886666666673</v>
      </c>
      <c r="P83" s="11">
        <f t="shared" si="6"/>
        <v>0.37315898666666669</v>
      </c>
      <c r="Q83" s="11">
        <f t="shared" si="7"/>
        <v>-1.2050125666666667</v>
      </c>
    </row>
    <row r="84" spans="1:17" x14ac:dyDescent="0.25">
      <c r="A84">
        <v>1983</v>
      </c>
      <c r="B84">
        <v>-1.2467809999999999</v>
      </c>
      <c r="C84">
        <v>-1.423759</v>
      </c>
      <c r="D84">
        <v>-1.245679</v>
      </c>
      <c r="E84">
        <v>-0.81592889999999996</v>
      </c>
      <c r="F84">
        <v>-1.121783</v>
      </c>
      <c r="G84">
        <v>-1.17611</v>
      </c>
      <c r="H84">
        <v>-1.4229449999999999</v>
      </c>
      <c r="I84">
        <v>-2.0331969999999999</v>
      </c>
      <c r="J84">
        <v>-1.454798</v>
      </c>
      <c r="K84">
        <v>-1.539747</v>
      </c>
      <c r="L84">
        <v>-1.9235150000000001</v>
      </c>
      <c r="M84">
        <v>-2.3918189999999999</v>
      </c>
      <c r="N84" s="11">
        <f t="shared" si="4"/>
        <v>-1.0611303000000001</v>
      </c>
      <c r="O84" s="11">
        <f t="shared" si="5"/>
        <v>-1.5440839999999998</v>
      </c>
      <c r="P84" s="11">
        <f t="shared" si="6"/>
        <v>-1.6393533333333334</v>
      </c>
      <c r="Q84" s="11">
        <f t="shared" si="7"/>
        <v>-1.4614831666666666</v>
      </c>
    </row>
    <row r="85" spans="1:17" x14ac:dyDescent="0.25">
      <c r="A85">
        <v>1984</v>
      </c>
      <c r="B85">
        <v>-2.522678</v>
      </c>
      <c r="C85">
        <v>0.5300475</v>
      </c>
      <c r="D85">
        <v>0.88483290000000003</v>
      </c>
      <c r="E85">
        <v>0.62722750000000005</v>
      </c>
      <c r="F85">
        <v>1.050257</v>
      </c>
      <c r="G85">
        <v>1.527706</v>
      </c>
      <c r="H85">
        <v>-0.22328790000000001</v>
      </c>
      <c r="I85">
        <v>-1.5046280000000001</v>
      </c>
      <c r="J85">
        <v>-1.5150950000000001</v>
      </c>
      <c r="K85">
        <v>1.3232379999999999</v>
      </c>
      <c r="L85">
        <v>-9.8447430000000002E-2</v>
      </c>
      <c r="M85">
        <v>-0.32316800000000001</v>
      </c>
      <c r="N85" s="11">
        <f t="shared" si="4"/>
        <v>0.85410580000000014</v>
      </c>
      <c r="O85" s="11">
        <f t="shared" si="5"/>
        <v>-6.6736633333333392E-2</v>
      </c>
      <c r="P85" s="11">
        <f t="shared" si="6"/>
        <v>-9.676814333333339E-2</v>
      </c>
      <c r="Q85" s="11">
        <f t="shared" si="7"/>
        <v>-9.0363500000000027E-2</v>
      </c>
    </row>
    <row r="86" spans="1:17" x14ac:dyDescent="0.25">
      <c r="A86">
        <v>1985</v>
      </c>
      <c r="B86">
        <v>-0.29658849999999998</v>
      </c>
      <c r="C86">
        <v>0.34866599999999998</v>
      </c>
      <c r="D86">
        <v>0.47286990000000001</v>
      </c>
      <c r="E86">
        <v>0.61211439999999995</v>
      </c>
      <c r="F86">
        <v>1.5042610000000001</v>
      </c>
      <c r="G86">
        <v>1.45123</v>
      </c>
      <c r="H86">
        <v>-1.3883799999999999</v>
      </c>
      <c r="I86">
        <v>-1.9905660000000001</v>
      </c>
      <c r="J86">
        <v>-1.9864889999999999</v>
      </c>
      <c r="K86">
        <v>-1.8311379999999999</v>
      </c>
      <c r="L86">
        <v>-1.672453</v>
      </c>
      <c r="M86">
        <v>-1.861804</v>
      </c>
      <c r="N86" s="11">
        <f t="shared" si="4"/>
        <v>0.86308176666666669</v>
      </c>
      <c r="O86" s="11">
        <f t="shared" si="5"/>
        <v>-0.64257200000000003</v>
      </c>
      <c r="P86" s="11">
        <f t="shared" si="6"/>
        <v>-1.8300266666666667</v>
      </c>
      <c r="Q86" s="11">
        <f t="shared" si="7"/>
        <v>-1.0935849333333334</v>
      </c>
    </row>
    <row r="87" spans="1:17" x14ac:dyDescent="0.25">
      <c r="A87">
        <v>1986</v>
      </c>
      <c r="B87">
        <v>-1.7536020000000001</v>
      </c>
      <c r="C87">
        <v>0.33465119999999998</v>
      </c>
      <c r="D87">
        <v>0.84720980000000001</v>
      </c>
      <c r="E87">
        <v>1.7068620000000001</v>
      </c>
      <c r="F87">
        <v>2.5129419999999998</v>
      </c>
      <c r="G87">
        <v>3.0153430000000001</v>
      </c>
      <c r="H87">
        <v>-1.547515</v>
      </c>
      <c r="I87">
        <v>-1.3118890000000001</v>
      </c>
      <c r="J87">
        <v>-1.680787</v>
      </c>
      <c r="K87">
        <v>-1.7269559999999999</v>
      </c>
      <c r="L87">
        <v>-0.95923959999999997</v>
      </c>
      <c r="M87">
        <v>-1.418504</v>
      </c>
      <c r="N87" s="11">
        <f t="shared" si="4"/>
        <v>1.6890045999999999</v>
      </c>
      <c r="O87" s="11">
        <f t="shared" si="5"/>
        <v>5.1979666666666681E-2</v>
      </c>
      <c r="P87" s="11">
        <f t="shared" si="6"/>
        <v>-1.4556608666666666</v>
      </c>
      <c r="Q87" s="11">
        <f t="shared" si="7"/>
        <v>-1.9577639999999998</v>
      </c>
    </row>
    <row r="88" spans="1:17" x14ac:dyDescent="0.25">
      <c r="A88">
        <v>1987</v>
      </c>
      <c r="B88">
        <v>-2.1390199999999999</v>
      </c>
      <c r="C88">
        <v>-2.3157679999999998</v>
      </c>
      <c r="D88">
        <v>-1.4453609999999999</v>
      </c>
      <c r="E88">
        <v>-1.5120480000000001</v>
      </c>
      <c r="F88">
        <v>-2.5807470000000001</v>
      </c>
      <c r="G88">
        <v>-3.03715</v>
      </c>
      <c r="H88">
        <v>-1.7662070000000001</v>
      </c>
      <c r="I88">
        <v>-1.856789</v>
      </c>
      <c r="J88">
        <v>-2.08168</v>
      </c>
      <c r="K88">
        <v>-1.6322700000000001</v>
      </c>
      <c r="L88">
        <v>-1.6212789999999999</v>
      </c>
      <c r="M88">
        <v>-1.6352770000000001</v>
      </c>
      <c r="N88" s="11">
        <f t="shared" si="4"/>
        <v>-1.8460520000000002</v>
      </c>
      <c r="O88" s="11">
        <f t="shared" si="5"/>
        <v>-2.2200486666666666</v>
      </c>
      <c r="P88" s="11">
        <f t="shared" si="6"/>
        <v>-1.7784096666666667</v>
      </c>
      <c r="Q88" s="11">
        <f t="shared" si="7"/>
        <v>-1.8532299999999999</v>
      </c>
    </row>
    <row r="89" spans="1:17" x14ac:dyDescent="0.25">
      <c r="A89">
        <v>1988</v>
      </c>
      <c r="B89">
        <v>-1.688555</v>
      </c>
      <c r="C89">
        <v>-2.2358579999999999</v>
      </c>
      <c r="D89">
        <v>-2.1069520000000002</v>
      </c>
      <c r="E89">
        <v>-2.2516020000000001</v>
      </c>
      <c r="F89">
        <v>-3.4966940000000002</v>
      </c>
      <c r="G89">
        <v>-3.862638</v>
      </c>
      <c r="H89">
        <v>-5.3977820000000003</v>
      </c>
      <c r="I89">
        <v>-5.2255739999999999</v>
      </c>
      <c r="J89">
        <v>-5.5070569999999996</v>
      </c>
      <c r="K89">
        <v>-4.8275610000000002</v>
      </c>
      <c r="L89">
        <v>-4.8069110000000004</v>
      </c>
      <c r="M89">
        <v>-4.4451150000000004</v>
      </c>
      <c r="N89" s="11">
        <f t="shared" si="4"/>
        <v>-2.6184159999999999</v>
      </c>
      <c r="O89" s="11">
        <f t="shared" si="5"/>
        <v>-4.8286646666666666</v>
      </c>
      <c r="P89" s="11">
        <f t="shared" si="6"/>
        <v>-5.0471763333333328</v>
      </c>
      <c r="Q89" s="11">
        <f t="shared" si="7"/>
        <v>-4.3306283333333333</v>
      </c>
    </row>
    <row r="90" spans="1:17" x14ac:dyDescent="0.25">
      <c r="A90">
        <v>1989</v>
      </c>
      <c r="B90">
        <v>-4.3955979999999997</v>
      </c>
      <c r="C90">
        <v>-4.1511719999999999</v>
      </c>
      <c r="D90">
        <v>-3.985627</v>
      </c>
      <c r="E90">
        <v>-3.7511359999999998</v>
      </c>
      <c r="F90">
        <v>-5.0115959999999999</v>
      </c>
      <c r="G90">
        <v>-4.9586980000000001</v>
      </c>
      <c r="H90">
        <v>-4.9167990000000001</v>
      </c>
      <c r="I90">
        <v>-4.4698560000000001</v>
      </c>
      <c r="J90">
        <v>-4.8119290000000001</v>
      </c>
      <c r="K90">
        <v>-5.2080450000000003</v>
      </c>
      <c r="L90">
        <v>-5.2902230000000001</v>
      </c>
      <c r="M90">
        <v>-4.5438289999999997</v>
      </c>
      <c r="N90" s="11">
        <f t="shared" si="4"/>
        <v>-4.2494529999999999</v>
      </c>
      <c r="O90" s="11">
        <f t="shared" si="5"/>
        <v>-4.7817843333333334</v>
      </c>
      <c r="P90" s="11">
        <f t="shared" si="6"/>
        <v>-5.1033990000000005</v>
      </c>
      <c r="Q90" s="11">
        <f t="shared" si="7"/>
        <v>-4.3917863333333331</v>
      </c>
    </row>
    <row r="91" spans="1:17" x14ac:dyDescent="0.25">
      <c r="A91">
        <v>1990</v>
      </c>
      <c r="B91">
        <v>-4.3735559999999998</v>
      </c>
      <c r="C91">
        <v>-4.2579739999999999</v>
      </c>
      <c r="D91">
        <v>-3.129769</v>
      </c>
      <c r="E91">
        <v>-1.820883</v>
      </c>
      <c r="F91">
        <v>-1.5874980000000001</v>
      </c>
      <c r="G91">
        <v>-1.5090509999999999</v>
      </c>
      <c r="H91">
        <v>-2.6870949999999998</v>
      </c>
      <c r="I91">
        <v>-2.9247830000000001</v>
      </c>
      <c r="J91">
        <v>-1.6769149999999999</v>
      </c>
      <c r="K91">
        <v>-1.7227520000000001</v>
      </c>
      <c r="L91">
        <v>-1.959047</v>
      </c>
      <c r="M91">
        <v>-2.3767619999999998</v>
      </c>
      <c r="N91" s="11">
        <f t="shared" si="4"/>
        <v>-2.1793833333333335</v>
      </c>
      <c r="O91" s="11">
        <f t="shared" si="5"/>
        <v>-2.3736429999999999</v>
      </c>
      <c r="P91" s="11">
        <f t="shared" si="6"/>
        <v>-1.786238</v>
      </c>
      <c r="Q91" s="11">
        <f t="shared" si="7"/>
        <v>-2.6610469999999999</v>
      </c>
    </row>
    <row r="92" spans="1:17" x14ac:dyDescent="0.25">
      <c r="A92">
        <v>1991</v>
      </c>
      <c r="B92">
        <v>-2.7221380000000002</v>
      </c>
      <c r="C92">
        <v>-2.8842409999999998</v>
      </c>
      <c r="D92">
        <v>-2.6806770000000002</v>
      </c>
      <c r="E92">
        <v>-2.6333289999999998</v>
      </c>
      <c r="F92">
        <v>-2.2769490000000001</v>
      </c>
      <c r="G92">
        <v>-2.459152</v>
      </c>
      <c r="H92">
        <v>-2.5957729999999999</v>
      </c>
      <c r="I92">
        <v>-2.669092</v>
      </c>
      <c r="J92">
        <v>-2.0019559999999998</v>
      </c>
      <c r="K92">
        <v>-1.9185559999999999</v>
      </c>
      <c r="L92">
        <v>-2.1310150000000001</v>
      </c>
      <c r="M92">
        <v>1.505134</v>
      </c>
      <c r="N92" s="11">
        <f t="shared" si="4"/>
        <v>-2.5303183333333332</v>
      </c>
      <c r="O92" s="11">
        <f t="shared" si="5"/>
        <v>-2.5746723333333335</v>
      </c>
      <c r="P92" s="11">
        <f t="shared" si="6"/>
        <v>-2.0171756666666667</v>
      </c>
      <c r="Q92" s="11">
        <f t="shared" si="7"/>
        <v>1.6108816666666665</v>
      </c>
    </row>
    <row r="93" spans="1:17" x14ac:dyDescent="0.25">
      <c r="A93">
        <v>1992</v>
      </c>
      <c r="B93">
        <v>1.0956619999999999</v>
      </c>
      <c r="C93">
        <v>2.231849</v>
      </c>
      <c r="D93">
        <v>3.1336949999999999</v>
      </c>
      <c r="E93">
        <v>2.798019</v>
      </c>
      <c r="F93">
        <v>2.6074980000000001</v>
      </c>
      <c r="G93">
        <v>2.7121979999999999</v>
      </c>
      <c r="H93">
        <v>-1.6050949999999999</v>
      </c>
      <c r="I93">
        <v>-2.4457080000000002</v>
      </c>
      <c r="J93">
        <v>8.6444789999999994E-2</v>
      </c>
      <c r="K93">
        <v>1.4163829999999999</v>
      </c>
      <c r="L93">
        <v>-0.1680142</v>
      </c>
      <c r="M93">
        <v>-0.44179489999999999</v>
      </c>
      <c r="N93" s="11">
        <f t="shared" si="4"/>
        <v>2.8464039999999997</v>
      </c>
      <c r="O93" s="11">
        <f t="shared" si="5"/>
        <v>-0.44620166666666677</v>
      </c>
      <c r="P93" s="11">
        <f t="shared" si="6"/>
        <v>0.44493786333333335</v>
      </c>
      <c r="Q93" s="11">
        <f t="shared" si="7"/>
        <v>-0.98853863333333336</v>
      </c>
    </row>
    <row r="94" spans="1:17" x14ac:dyDescent="0.25">
      <c r="A94">
        <v>1993</v>
      </c>
      <c r="B94">
        <v>-1.009266</v>
      </c>
      <c r="C94">
        <v>-1.5145550000000001</v>
      </c>
      <c r="D94">
        <v>1.845604</v>
      </c>
      <c r="E94">
        <v>2.5247099999999998</v>
      </c>
      <c r="F94">
        <v>3.5890209999999998</v>
      </c>
      <c r="G94">
        <v>5.0349469999999998</v>
      </c>
      <c r="H94">
        <v>4.8320030000000003</v>
      </c>
      <c r="I94">
        <v>-1.0101789999999999</v>
      </c>
      <c r="J94">
        <v>-1.955149</v>
      </c>
      <c r="K94">
        <v>-1.6826639999999999</v>
      </c>
      <c r="L94">
        <v>-1.2119089999999999</v>
      </c>
      <c r="M94">
        <v>-0.89344730000000006</v>
      </c>
      <c r="N94" s="11">
        <f t="shared" si="4"/>
        <v>2.6531116666666663</v>
      </c>
      <c r="O94" s="11">
        <f t="shared" si="5"/>
        <v>2.9522569999999995</v>
      </c>
      <c r="P94" s="11">
        <f t="shared" si="6"/>
        <v>-1.616574</v>
      </c>
      <c r="Q94" s="11">
        <f t="shared" si="7"/>
        <v>-1.2410661000000001</v>
      </c>
    </row>
    <row r="95" spans="1:17" x14ac:dyDescent="0.25">
      <c r="A95">
        <v>1994</v>
      </c>
      <c r="B95">
        <v>-1.190642</v>
      </c>
      <c r="C95">
        <v>-1.6391089999999999</v>
      </c>
      <c r="D95">
        <v>5.3679349999999999E-3</v>
      </c>
      <c r="E95">
        <v>0.16867080000000001</v>
      </c>
      <c r="F95">
        <v>0.39669880000000002</v>
      </c>
      <c r="G95">
        <v>0.76055379999999995</v>
      </c>
      <c r="H95">
        <v>-6.2464480000000003E-2</v>
      </c>
      <c r="I95">
        <v>-0.91324859999999997</v>
      </c>
      <c r="J95">
        <v>1.2164429999999999</v>
      </c>
      <c r="K95">
        <v>1.29908</v>
      </c>
      <c r="L95">
        <v>2.0872030000000001</v>
      </c>
      <c r="M95">
        <v>1.8842650000000001</v>
      </c>
      <c r="N95" s="11">
        <f t="shared" si="4"/>
        <v>0.190245845</v>
      </c>
      <c r="O95" s="11">
        <f t="shared" si="5"/>
        <v>-7.1719760000000021E-2</v>
      </c>
      <c r="P95" s="11">
        <f t="shared" si="6"/>
        <v>1.5342420000000001</v>
      </c>
      <c r="Q95" s="11">
        <f t="shared" si="7"/>
        <v>1.1109487</v>
      </c>
    </row>
    <row r="96" spans="1:17" x14ac:dyDescent="0.25">
      <c r="A96">
        <v>1995</v>
      </c>
      <c r="B96">
        <v>1.7425379999999999</v>
      </c>
      <c r="C96">
        <v>-0.29395690000000002</v>
      </c>
      <c r="D96">
        <v>-0.64549219999999996</v>
      </c>
      <c r="E96">
        <v>-0.22803219999999999</v>
      </c>
      <c r="F96">
        <v>-1.100543</v>
      </c>
      <c r="G96">
        <v>0.44069079999999999</v>
      </c>
      <c r="H96">
        <v>-0.33467409999999997</v>
      </c>
      <c r="I96">
        <v>-0.19272829999999999</v>
      </c>
      <c r="J96">
        <v>-0.67498360000000002</v>
      </c>
      <c r="K96">
        <v>-0.79293130000000001</v>
      </c>
      <c r="L96">
        <v>-1.1065769999999999</v>
      </c>
      <c r="M96">
        <v>-1.744151</v>
      </c>
      <c r="N96" s="11">
        <f t="shared" si="4"/>
        <v>-0.65802246666666664</v>
      </c>
      <c r="O96" s="11">
        <f t="shared" si="5"/>
        <v>-2.8903866666666656E-2</v>
      </c>
      <c r="P96" s="11">
        <f t="shared" si="6"/>
        <v>-0.85816396666666661</v>
      </c>
      <c r="Q96" s="11">
        <f t="shared" si="7"/>
        <v>-2.165098</v>
      </c>
    </row>
    <row r="97" spans="1:17" x14ac:dyDescent="0.25">
      <c r="A97">
        <v>1996</v>
      </c>
      <c r="B97">
        <v>-2.2931439999999998</v>
      </c>
      <c r="C97">
        <v>-2.457999</v>
      </c>
      <c r="D97">
        <v>-1.8573390000000001</v>
      </c>
      <c r="E97">
        <v>-1.6613309999999999</v>
      </c>
      <c r="F97">
        <v>-2.3112650000000001</v>
      </c>
      <c r="G97">
        <v>-3.250543</v>
      </c>
      <c r="H97">
        <v>-4.3967000000000001</v>
      </c>
      <c r="I97">
        <v>-4.4066090000000004</v>
      </c>
      <c r="J97">
        <v>-4.959619</v>
      </c>
      <c r="K97">
        <v>-5.1715650000000002</v>
      </c>
      <c r="L97">
        <v>-4.7912489999999996</v>
      </c>
      <c r="M97">
        <v>-4.59633</v>
      </c>
      <c r="N97" s="11">
        <f t="shared" ref="N97:N122" si="8">IF(AND(ISNUMBER(D97),ISNUMBER(E97),ISNUMBER(F97)),AVERAGE(D97:F97),"")</f>
        <v>-1.943311666666667</v>
      </c>
      <c r="O97" s="11">
        <f t="shared" ref="O97:O122" si="9">IF(AND(ISNUMBER(G97),ISNUMBER(H97),ISNUMBER(I97)),AVERAGE(G97:I97),"")</f>
        <v>-4.0179506666666667</v>
      </c>
      <c r="P97" s="11">
        <f t="shared" ref="P97:P122" si="10">IF(AND(ISNUMBER(J97),ISNUMBER(K97),ISNUMBER(L97)),AVERAGE(J97:L97),"")</f>
        <v>-4.9741443333333342</v>
      </c>
      <c r="Q97" s="11">
        <f t="shared" ref="Q97:Q122" si="11">IF(AND(ISNUMBER(M97),ISNUMBER(B98),ISNUMBER(C98)),AVERAGE(M97,B98:C98),"")</f>
        <v>-3.9161140000000003</v>
      </c>
    </row>
    <row r="98" spans="1:17" x14ac:dyDescent="0.25">
      <c r="A98">
        <v>1997</v>
      </c>
      <c r="B98">
        <v>-3.7548840000000001</v>
      </c>
      <c r="C98">
        <v>-3.3971279999999999</v>
      </c>
      <c r="D98">
        <v>-3.0741320000000001</v>
      </c>
      <c r="E98">
        <v>-1.4995780000000001</v>
      </c>
      <c r="F98">
        <v>-1.681694</v>
      </c>
      <c r="G98">
        <v>-1.4611050000000001</v>
      </c>
      <c r="H98">
        <v>-1.39341</v>
      </c>
      <c r="I98">
        <v>-1.4698199999999999</v>
      </c>
      <c r="J98">
        <v>-1.5396000000000001</v>
      </c>
      <c r="K98">
        <v>-1.1088769999999999</v>
      </c>
      <c r="L98">
        <v>-0.56806840000000003</v>
      </c>
      <c r="M98">
        <v>-0.57058949999999997</v>
      </c>
      <c r="N98" s="11">
        <f t="shared" si="8"/>
        <v>-2.0851346666666668</v>
      </c>
      <c r="O98" s="11">
        <f t="shared" si="9"/>
        <v>-1.4414449999999999</v>
      </c>
      <c r="P98" s="11">
        <f t="shared" si="10"/>
        <v>-1.0721817999999999</v>
      </c>
      <c r="Q98" s="11">
        <f t="shared" si="11"/>
        <v>-0.77089396666666676</v>
      </c>
    </row>
    <row r="99" spans="1:17" x14ac:dyDescent="0.25">
      <c r="A99">
        <v>1998</v>
      </c>
      <c r="B99">
        <v>-0.78298939999999995</v>
      </c>
      <c r="C99">
        <v>-0.95910300000000004</v>
      </c>
      <c r="D99">
        <v>-1.062997</v>
      </c>
      <c r="E99">
        <v>-0.81963430000000004</v>
      </c>
      <c r="F99">
        <v>-1.4628080000000001</v>
      </c>
      <c r="G99">
        <v>-2.575615</v>
      </c>
      <c r="H99">
        <v>-3.3065329999999999</v>
      </c>
      <c r="I99">
        <v>-3.6656119999999999</v>
      </c>
      <c r="J99">
        <v>-3.9453610000000001</v>
      </c>
      <c r="K99">
        <v>-4.3397389999999998</v>
      </c>
      <c r="L99">
        <v>-4.4922570000000004</v>
      </c>
      <c r="M99">
        <v>-4.6860970000000002</v>
      </c>
      <c r="N99" s="11">
        <f t="shared" si="8"/>
        <v>-1.1151464333333332</v>
      </c>
      <c r="O99" s="11">
        <f t="shared" si="9"/>
        <v>-3.1825866666666669</v>
      </c>
      <c r="P99" s="11">
        <f t="shared" si="10"/>
        <v>-4.2591190000000001</v>
      </c>
      <c r="Q99" s="11">
        <f t="shared" si="11"/>
        <v>-4.8749340000000005</v>
      </c>
    </row>
    <row r="100" spans="1:17" x14ac:dyDescent="0.25">
      <c r="A100">
        <v>1999</v>
      </c>
      <c r="B100">
        <v>-4.8606470000000002</v>
      </c>
      <c r="C100">
        <v>-5.0780580000000004</v>
      </c>
      <c r="D100">
        <v>-4.6841109999999997</v>
      </c>
      <c r="E100">
        <v>-4.7875129999999997</v>
      </c>
      <c r="F100">
        <v>-5.5259489999999998</v>
      </c>
      <c r="G100">
        <v>-5.2300110000000002</v>
      </c>
      <c r="H100">
        <v>-5.7199850000000003</v>
      </c>
      <c r="I100">
        <v>-4.7497590000000001</v>
      </c>
      <c r="J100">
        <v>-4.4924220000000004</v>
      </c>
      <c r="K100">
        <v>-4.6191199999999997</v>
      </c>
      <c r="L100">
        <v>-4.6797700000000004</v>
      </c>
      <c r="M100">
        <v>-4.7195989999999997</v>
      </c>
      <c r="N100" s="11">
        <f t="shared" si="8"/>
        <v>-4.9991909999999997</v>
      </c>
      <c r="O100" s="11">
        <f t="shared" si="9"/>
        <v>-5.2332516666666669</v>
      </c>
      <c r="P100" s="11">
        <f t="shared" si="10"/>
        <v>-4.5971040000000007</v>
      </c>
      <c r="Q100" s="11">
        <f t="shared" si="11"/>
        <v>-4.2716923333333332</v>
      </c>
    </row>
    <row r="101" spans="1:17" x14ac:dyDescent="0.25">
      <c r="A101">
        <v>2000</v>
      </c>
      <c r="B101">
        <v>-4.8546040000000001</v>
      </c>
      <c r="C101">
        <v>-3.2408739999999998</v>
      </c>
      <c r="D101">
        <v>-3.3512659999999999</v>
      </c>
      <c r="E101">
        <v>-3.1681149999999998</v>
      </c>
      <c r="F101">
        <v>-4.0309699999999999</v>
      </c>
      <c r="G101">
        <v>-3.1272989999999998</v>
      </c>
      <c r="H101">
        <v>-2.8668499999999999</v>
      </c>
      <c r="I101">
        <v>-3.216717</v>
      </c>
      <c r="J101">
        <v>0.23647319999999999</v>
      </c>
      <c r="K101">
        <v>1.0325249999999999</v>
      </c>
      <c r="L101">
        <v>0.95860449999999997</v>
      </c>
      <c r="M101">
        <v>0.64043930000000004</v>
      </c>
      <c r="N101" s="11">
        <f t="shared" si="8"/>
        <v>-3.5167836666666665</v>
      </c>
      <c r="O101" s="11">
        <f t="shared" si="9"/>
        <v>-3.0702886666666664</v>
      </c>
      <c r="P101" s="11">
        <f t="shared" si="10"/>
        <v>0.74253423333333324</v>
      </c>
      <c r="Q101" s="11">
        <f t="shared" si="11"/>
        <v>1.2693334333333333</v>
      </c>
    </row>
    <row r="102" spans="1:17" x14ac:dyDescent="0.25">
      <c r="A102">
        <v>2001</v>
      </c>
      <c r="B102">
        <v>1.6863459999999999</v>
      </c>
      <c r="C102">
        <v>1.4812149999999999</v>
      </c>
      <c r="D102">
        <v>2.2777560000000001</v>
      </c>
      <c r="E102">
        <v>1.3510089999999999</v>
      </c>
      <c r="F102">
        <v>2.321844</v>
      </c>
      <c r="G102">
        <v>2.4076960000000001</v>
      </c>
      <c r="H102">
        <v>2.5054759999999998</v>
      </c>
      <c r="I102">
        <v>-0.97323119999999996</v>
      </c>
      <c r="J102">
        <v>-1.874493</v>
      </c>
      <c r="K102">
        <v>-2.1758700000000002</v>
      </c>
      <c r="L102">
        <v>-2.3609599999999999</v>
      </c>
      <c r="M102">
        <v>-2.9905970000000002</v>
      </c>
      <c r="N102" s="11">
        <f t="shared" si="8"/>
        <v>1.9835363333333333</v>
      </c>
      <c r="O102" s="11">
        <f t="shared" si="9"/>
        <v>1.3133135999999999</v>
      </c>
      <c r="P102" s="11">
        <f t="shared" si="10"/>
        <v>-2.1371076666666666</v>
      </c>
      <c r="Q102" s="11">
        <f t="shared" si="11"/>
        <v>-3.0781166666666664</v>
      </c>
    </row>
    <row r="103" spans="1:17" x14ac:dyDescent="0.25">
      <c r="A103">
        <v>2002</v>
      </c>
      <c r="B103">
        <v>-3.4902679999999999</v>
      </c>
      <c r="C103">
        <v>-2.753485</v>
      </c>
      <c r="D103">
        <v>-1.313383</v>
      </c>
      <c r="E103">
        <v>-1.1846410000000001</v>
      </c>
      <c r="F103">
        <v>-1.0578129999999999</v>
      </c>
      <c r="G103">
        <v>-1.5653699999999999</v>
      </c>
      <c r="H103">
        <v>-2.5813459999999999</v>
      </c>
      <c r="I103">
        <v>-3.130194E-2</v>
      </c>
      <c r="J103">
        <v>0.23344909999999999</v>
      </c>
      <c r="K103">
        <v>2.2253889999999998</v>
      </c>
      <c r="L103">
        <v>3.1329549999999999</v>
      </c>
      <c r="M103">
        <v>-4.7172309999999997E-3</v>
      </c>
      <c r="N103" s="11">
        <f t="shared" si="8"/>
        <v>-1.185279</v>
      </c>
      <c r="O103" s="11">
        <f t="shared" si="9"/>
        <v>-1.3926726466666663</v>
      </c>
      <c r="P103" s="11">
        <f t="shared" si="10"/>
        <v>1.8639310333333334</v>
      </c>
      <c r="Q103" s="11">
        <f t="shared" si="11"/>
        <v>-0.38722344366666661</v>
      </c>
    </row>
    <row r="104" spans="1:17" x14ac:dyDescent="0.25">
      <c r="A104">
        <v>2003</v>
      </c>
      <c r="B104">
        <v>-0.30390790000000001</v>
      </c>
      <c r="C104">
        <v>-0.85304519999999995</v>
      </c>
      <c r="D104">
        <v>-1.34911</v>
      </c>
      <c r="E104">
        <v>-1.649394</v>
      </c>
      <c r="F104">
        <v>-2.973319</v>
      </c>
      <c r="G104">
        <v>-2.2180740000000001</v>
      </c>
      <c r="H104">
        <v>-3.0751279999999999</v>
      </c>
      <c r="I104">
        <v>-3.1291310000000001</v>
      </c>
      <c r="J104">
        <v>-2.5480269999999998</v>
      </c>
      <c r="K104">
        <v>-2.6556820000000001</v>
      </c>
      <c r="L104">
        <v>-2.2379709999999999</v>
      </c>
      <c r="M104">
        <v>-1.9390540000000001</v>
      </c>
      <c r="N104" s="11">
        <f t="shared" si="8"/>
        <v>-1.9906076666666668</v>
      </c>
      <c r="O104" s="11">
        <f t="shared" si="9"/>
        <v>-2.8074443333333332</v>
      </c>
      <c r="P104" s="11">
        <f t="shared" si="10"/>
        <v>-2.4805600000000001</v>
      </c>
      <c r="Q104" s="11">
        <f t="shared" si="11"/>
        <v>-2.1630220000000002</v>
      </c>
    </row>
    <row r="105" spans="1:17" x14ac:dyDescent="0.25">
      <c r="A105">
        <v>2004</v>
      </c>
      <c r="B105">
        <v>-2.1943049999999999</v>
      </c>
      <c r="C105">
        <v>-2.3557070000000002</v>
      </c>
      <c r="D105">
        <v>-2.384439</v>
      </c>
      <c r="E105">
        <v>1.2426140000000001</v>
      </c>
      <c r="F105">
        <v>0.33096320000000001</v>
      </c>
      <c r="G105">
        <v>1.3054730000000001</v>
      </c>
      <c r="H105">
        <v>-1.536675</v>
      </c>
      <c r="I105">
        <v>-2.20601</v>
      </c>
      <c r="J105">
        <v>-2.1724779999999999</v>
      </c>
      <c r="K105">
        <v>-1.8445130000000001</v>
      </c>
      <c r="L105">
        <v>-1.403837</v>
      </c>
      <c r="M105">
        <v>-1.51956</v>
      </c>
      <c r="N105" s="11">
        <f t="shared" si="8"/>
        <v>-0.27028726666666664</v>
      </c>
      <c r="O105" s="11">
        <f t="shared" si="9"/>
        <v>-0.8124039999999999</v>
      </c>
      <c r="P105" s="11">
        <f t="shared" si="10"/>
        <v>-1.8069426666666668</v>
      </c>
      <c r="Q105" s="11">
        <f t="shared" si="11"/>
        <v>-1.8005623333333336</v>
      </c>
    </row>
    <row r="106" spans="1:17" x14ac:dyDescent="0.25">
      <c r="A106">
        <v>2005</v>
      </c>
      <c r="B106">
        <v>-1.8149660000000001</v>
      </c>
      <c r="C106">
        <v>-2.067161</v>
      </c>
      <c r="D106">
        <v>0.55638560000000004</v>
      </c>
      <c r="E106">
        <v>-0.50471759999999999</v>
      </c>
      <c r="F106">
        <v>0.58865679999999998</v>
      </c>
      <c r="G106">
        <v>0.7483341</v>
      </c>
      <c r="H106">
        <v>-0.81373059999999997</v>
      </c>
      <c r="I106">
        <v>-0.78692620000000002</v>
      </c>
      <c r="J106">
        <v>-1.5194129999999999</v>
      </c>
      <c r="K106">
        <v>-1.712842</v>
      </c>
      <c r="L106">
        <v>0.73713770000000001</v>
      </c>
      <c r="M106">
        <v>0.27155380000000001</v>
      </c>
      <c r="N106" s="11">
        <f t="shared" si="8"/>
        <v>0.21344160000000001</v>
      </c>
      <c r="O106" s="11">
        <f t="shared" si="9"/>
        <v>-0.28410756666666664</v>
      </c>
      <c r="P106" s="11">
        <f t="shared" si="10"/>
        <v>-0.83170576666666662</v>
      </c>
      <c r="Q106" s="11">
        <f t="shared" si="11"/>
        <v>0.34054643333333329</v>
      </c>
    </row>
    <row r="107" spans="1:17" x14ac:dyDescent="0.25">
      <c r="A107">
        <v>2006</v>
      </c>
      <c r="B107">
        <v>1.087683</v>
      </c>
      <c r="C107">
        <v>-0.33759749999999999</v>
      </c>
      <c r="D107">
        <v>-0.35841240000000002</v>
      </c>
      <c r="E107">
        <v>-0.21508849999999999</v>
      </c>
      <c r="F107">
        <v>-1.233185</v>
      </c>
      <c r="G107">
        <v>0.4547774</v>
      </c>
      <c r="H107">
        <v>0.65653039999999996</v>
      </c>
      <c r="I107">
        <v>-0.51730580000000004</v>
      </c>
      <c r="J107">
        <v>-0.63616039999999996</v>
      </c>
      <c r="K107">
        <v>-0.5823914</v>
      </c>
      <c r="L107">
        <v>-0.88632449999999996</v>
      </c>
      <c r="M107">
        <v>-0.5501973</v>
      </c>
      <c r="N107" s="11">
        <f t="shared" si="8"/>
        <v>-0.60222863333333332</v>
      </c>
      <c r="O107" s="11">
        <f t="shared" si="9"/>
        <v>0.19800066666666669</v>
      </c>
      <c r="P107" s="11">
        <f t="shared" si="10"/>
        <v>-0.70162543333333327</v>
      </c>
      <c r="Q107" s="11">
        <f t="shared" si="11"/>
        <v>-0.89562210000000009</v>
      </c>
    </row>
    <row r="108" spans="1:17" x14ac:dyDescent="0.25">
      <c r="A108">
        <v>2007</v>
      </c>
      <c r="B108">
        <v>-1.0193829999999999</v>
      </c>
      <c r="C108">
        <v>-1.117286</v>
      </c>
      <c r="D108">
        <v>-1.3132790000000001</v>
      </c>
      <c r="E108">
        <v>-1.345008</v>
      </c>
      <c r="F108">
        <v>-2.708062</v>
      </c>
      <c r="G108">
        <v>-3.6909190000000001</v>
      </c>
      <c r="H108">
        <v>-3.8967860000000001</v>
      </c>
      <c r="I108">
        <v>-4.2118909999999996</v>
      </c>
      <c r="J108">
        <v>-3.45072</v>
      </c>
      <c r="K108">
        <v>-2.7913039999999998</v>
      </c>
      <c r="L108">
        <v>-2.915438</v>
      </c>
      <c r="M108">
        <v>-3.263474</v>
      </c>
      <c r="N108" s="11">
        <f t="shared" si="8"/>
        <v>-1.7887829999999998</v>
      </c>
      <c r="O108" s="11">
        <f t="shared" si="9"/>
        <v>-3.9331986666666663</v>
      </c>
      <c r="P108" s="11">
        <f t="shared" si="10"/>
        <v>-3.0524873333333331</v>
      </c>
      <c r="Q108" s="11">
        <f t="shared" si="11"/>
        <v>-3.3201156666666667</v>
      </c>
    </row>
    <row r="109" spans="1:17" x14ac:dyDescent="0.25">
      <c r="A109">
        <v>2008</v>
      </c>
      <c r="B109">
        <v>-3.1977370000000001</v>
      </c>
      <c r="C109">
        <v>-3.499136</v>
      </c>
      <c r="D109">
        <v>-3.8685510000000001</v>
      </c>
      <c r="E109">
        <v>-3.9500790000000001</v>
      </c>
      <c r="F109">
        <v>-3.205349</v>
      </c>
      <c r="G109">
        <v>-3.4624480000000002</v>
      </c>
      <c r="H109">
        <v>-3.2647949999999999</v>
      </c>
      <c r="I109">
        <v>-2.3105669999999998</v>
      </c>
      <c r="J109">
        <v>-3.021903</v>
      </c>
      <c r="K109">
        <v>-3.5945640000000001</v>
      </c>
      <c r="L109">
        <v>-3.6162529999999999</v>
      </c>
      <c r="M109">
        <v>-4.0777850000000004</v>
      </c>
      <c r="N109" s="11">
        <f t="shared" si="8"/>
        <v>-3.6746596666666669</v>
      </c>
      <c r="O109" s="11">
        <f t="shared" si="9"/>
        <v>-3.0126033333333333</v>
      </c>
      <c r="P109" s="11">
        <f t="shared" si="10"/>
        <v>-3.410906666666667</v>
      </c>
      <c r="Q109" s="11">
        <f t="shared" si="11"/>
        <v>-4.5547766666666671</v>
      </c>
    </row>
    <row r="110" spans="1:17" x14ac:dyDescent="0.25">
      <c r="A110">
        <v>2009</v>
      </c>
      <c r="B110">
        <v>-4.769495</v>
      </c>
      <c r="C110">
        <v>-4.8170500000000001</v>
      </c>
      <c r="D110">
        <v>-4.85947</v>
      </c>
      <c r="E110">
        <v>-4.6444109999999998</v>
      </c>
      <c r="F110">
        <v>-3.8141980000000002</v>
      </c>
      <c r="G110">
        <v>-3.9527670000000001</v>
      </c>
      <c r="H110">
        <v>-4.8695630000000003</v>
      </c>
      <c r="I110">
        <v>-3.8323909999999999</v>
      </c>
      <c r="J110">
        <v>-4.0518689999999999</v>
      </c>
      <c r="K110">
        <v>-2.7707079999999999</v>
      </c>
      <c r="L110">
        <v>-1.5850139999999999</v>
      </c>
      <c r="M110">
        <v>-1.3393980000000001</v>
      </c>
      <c r="N110" s="11">
        <f t="shared" si="8"/>
        <v>-4.4393596666666673</v>
      </c>
      <c r="O110" s="11">
        <f t="shared" si="9"/>
        <v>-4.2182403333333331</v>
      </c>
      <c r="P110" s="11">
        <f t="shared" si="10"/>
        <v>-2.8025303333333333</v>
      </c>
      <c r="Q110" s="11">
        <f t="shared" si="11"/>
        <v>-1.1099320333333333</v>
      </c>
    </row>
    <row r="111" spans="1:17" x14ac:dyDescent="0.25">
      <c r="A111">
        <v>2010</v>
      </c>
      <c r="B111">
        <v>-1.220261</v>
      </c>
      <c r="C111">
        <v>-0.77013710000000002</v>
      </c>
      <c r="D111">
        <v>-0.57758860000000001</v>
      </c>
      <c r="E111">
        <v>-1.031949</v>
      </c>
      <c r="F111">
        <v>-2.1390950000000002</v>
      </c>
      <c r="G111">
        <v>-2.2722349999999998</v>
      </c>
      <c r="H111">
        <v>-3.0643349999999998</v>
      </c>
      <c r="I111">
        <v>-3.0226549999999999</v>
      </c>
      <c r="J111">
        <v>-3.438625</v>
      </c>
      <c r="K111">
        <v>-3.6057440000000001</v>
      </c>
      <c r="L111">
        <v>-3.4568400000000001</v>
      </c>
      <c r="M111">
        <v>-3.3290980000000001</v>
      </c>
      <c r="N111" s="11">
        <f t="shared" si="8"/>
        <v>-1.2495442000000001</v>
      </c>
      <c r="O111" s="11">
        <f t="shared" si="9"/>
        <v>-2.7864083333333336</v>
      </c>
      <c r="P111" s="11">
        <f t="shared" si="10"/>
        <v>-3.5004029999999999</v>
      </c>
      <c r="Q111" s="11">
        <f t="shared" si="11"/>
        <v>-3.1756643333333336</v>
      </c>
    </row>
    <row r="112" spans="1:17" x14ac:dyDescent="0.25">
      <c r="A112">
        <v>2011</v>
      </c>
      <c r="B112">
        <v>-3.1251920000000002</v>
      </c>
      <c r="C112">
        <v>-3.0727030000000002</v>
      </c>
      <c r="D112">
        <v>-2.6614040000000001</v>
      </c>
      <c r="E112">
        <v>-2.3392390000000001</v>
      </c>
      <c r="F112">
        <v>-3.2411840000000001</v>
      </c>
      <c r="G112">
        <v>-4.0042099999999996</v>
      </c>
      <c r="H112">
        <v>-4.4304389999999998</v>
      </c>
      <c r="I112">
        <v>-4.153308</v>
      </c>
      <c r="J112">
        <v>-3.7850169999999999</v>
      </c>
      <c r="K112">
        <v>-3.8823759999999998</v>
      </c>
      <c r="L112">
        <v>-3.8762629999999998</v>
      </c>
      <c r="M112">
        <v>-4.3433739999999998</v>
      </c>
      <c r="N112" s="11">
        <f t="shared" si="8"/>
        <v>-2.7472756666666669</v>
      </c>
      <c r="O112" s="11">
        <f t="shared" si="9"/>
        <v>-4.1959856666666662</v>
      </c>
      <c r="P112" s="11">
        <f t="shared" si="10"/>
        <v>-3.8478853333333327</v>
      </c>
      <c r="Q112" s="11">
        <f t="shared" si="11"/>
        <v>-3.9141900000000001</v>
      </c>
    </row>
    <row r="113" spans="1:17" x14ac:dyDescent="0.25">
      <c r="A113">
        <v>2012</v>
      </c>
      <c r="B113">
        <v>-4.3040010000000004</v>
      </c>
      <c r="C113">
        <v>-3.0951949999999999</v>
      </c>
      <c r="D113">
        <v>-3.2930030000000001</v>
      </c>
      <c r="E113">
        <v>-3.598884</v>
      </c>
      <c r="F113">
        <v>-3.7878989999999999</v>
      </c>
      <c r="G113">
        <v>-3.4853450000000001</v>
      </c>
      <c r="H113">
        <v>-4.4485450000000002</v>
      </c>
      <c r="I113">
        <v>-4.5182130000000003</v>
      </c>
      <c r="J113">
        <v>-4.7951560000000004</v>
      </c>
      <c r="K113">
        <v>-4.9917360000000004</v>
      </c>
      <c r="L113">
        <v>-5.3205239999999998</v>
      </c>
      <c r="M113">
        <v>-4.3252649999999999</v>
      </c>
      <c r="N113" s="11">
        <f t="shared" si="8"/>
        <v>-3.5599286666666665</v>
      </c>
      <c r="O113" s="11">
        <f t="shared" si="9"/>
        <v>-4.1507010000000006</v>
      </c>
      <c r="P113" s="11">
        <f t="shared" si="10"/>
        <v>-5.0358053333333332</v>
      </c>
      <c r="Q113" s="11">
        <f t="shared" si="11"/>
        <v>-4.2973243333333331</v>
      </c>
    </row>
    <row r="114" spans="1:17" x14ac:dyDescent="0.25">
      <c r="A114">
        <v>2013</v>
      </c>
      <c r="B114">
        <v>-4.6308559999999996</v>
      </c>
      <c r="C114">
        <v>-3.9358520000000001</v>
      </c>
      <c r="D114">
        <v>-3.431689</v>
      </c>
      <c r="E114">
        <v>-3.4014690000000001</v>
      </c>
      <c r="F114">
        <v>-3.7574930000000002</v>
      </c>
      <c r="G114">
        <v>-4.3332879999999996</v>
      </c>
      <c r="H114">
        <v>-4.6562890000000001</v>
      </c>
      <c r="I114">
        <v>-4.0203749999999996</v>
      </c>
      <c r="J114">
        <v>-3.2786580000000001</v>
      </c>
      <c r="K114">
        <v>-3.5475880000000002</v>
      </c>
      <c r="L114">
        <v>-3.5674869999999999</v>
      </c>
      <c r="M114">
        <v>-4.0851569999999997</v>
      </c>
      <c r="N114" s="11">
        <f t="shared" si="8"/>
        <v>-3.5302170000000004</v>
      </c>
      <c r="O114" s="11">
        <f t="shared" si="9"/>
        <v>-4.3366506666666664</v>
      </c>
      <c r="P114" s="11">
        <f t="shared" si="10"/>
        <v>-3.464577666666667</v>
      </c>
      <c r="Q114" s="11">
        <f t="shared" si="11"/>
        <v>-4.064848333333333</v>
      </c>
    </row>
    <row r="115" spans="1:17" x14ac:dyDescent="0.25">
      <c r="A115">
        <v>2014</v>
      </c>
      <c r="B115">
        <v>-4.0121390000000003</v>
      </c>
      <c r="C115">
        <v>-4.0972489999999997</v>
      </c>
      <c r="D115">
        <v>-3.644333</v>
      </c>
      <c r="E115">
        <v>-2.8831709999999999</v>
      </c>
      <c r="F115">
        <v>-3.0587040000000001</v>
      </c>
      <c r="G115">
        <v>-3.1419260000000002</v>
      </c>
      <c r="H115">
        <v>-3.2670849999999998</v>
      </c>
      <c r="I115">
        <v>-3.224542</v>
      </c>
      <c r="J115">
        <v>-2.8829280000000002</v>
      </c>
      <c r="K115">
        <v>-2.6696409999999999</v>
      </c>
      <c r="L115">
        <v>-2.609353</v>
      </c>
      <c r="M115">
        <v>-2.9519790000000001</v>
      </c>
      <c r="N115" s="11">
        <f t="shared" si="8"/>
        <v>-3.1954026666666668</v>
      </c>
      <c r="O115" s="11">
        <f t="shared" si="9"/>
        <v>-3.2111843333333332</v>
      </c>
      <c r="P115" s="11">
        <f t="shared" si="10"/>
        <v>-2.7206406666666667</v>
      </c>
      <c r="Q115" s="11">
        <f t="shared" si="11"/>
        <v>-3.5114886666666667</v>
      </c>
    </row>
    <row r="116" spans="1:17" x14ac:dyDescent="0.25">
      <c r="A116">
        <v>2015</v>
      </c>
      <c r="B116">
        <v>-3.6210460000000002</v>
      </c>
      <c r="C116">
        <v>-3.9614410000000002</v>
      </c>
      <c r="D116">
        <v>-4.2982519999999997</v>
      </c>
      <c r="E116">
        <v>-4.2350260000000004</v>
      </c>
      <c r="F116">
        <v>-4.3767189999999996</v>
      </c>
      <c r="G116">
        <v>-4.0613330000000003</v>
      </c>
      <c r="H116">
        <v>-3.7441779999999998</v>
      </c>
      <c r="I116">
        <v>-3.0518290000000001</v>
      </c>
      <c r="J116">
        <v>-3.3143980000000002</v>
      </c>
      <c r="K116">
        <v>-3.457058</v>
      </c>
      <c r="L116">
        <v>-3.6507930000000002</v>
      </c>
      <c r="M116">
        <v>-3.9601899999999999</v>
      </c>
      <c r="N116" s="11">
        <f t="shared" si="8"/>
        <v>-4.3033323333333326</v>
      </c>
      <c r="O116" s="11">
        <f t="shared" si="9"/>
        <v>-3.6191133333333334</v>
      </c>
      <c r="P116" s="11">
        <f t="shared" si="10"/>
        <v>-3.4740830000000003</v>
      </c>
      <c r="Q116" s="11">
        <f t="shared" si="11"/>
        <v>-4.3432113333333335</v>
      </c>
    </row>
    <row r="117" spans="1:17" x14ac:dyDescent="0.25">
      <c r="A117">
        <v>2016</v>
      </c>
      <c r="B117">
        <v>-4.5039809999999996</v>
      </c>
      <c r="C117">
        <v>-4.5654630000000003</v>
      </c>
      <c r="D117">
        <v>-4.9192819999999999</v>
      </c>
      <c r="E117">
        <v>-4.5782619999999996</v>
      </c>
      <c r="F117">
        <v>-5.219576</v>
      </c>
      <c r="G117">
        <v>-6.4628420000000002</v>
      </c>
      <c r="H117">
        <v>-6.7507460000000004</v>
      </c>
      <c r="I117">
        <v>-6.6141180000000004</v>
      </c>
      <c r="J117">
        <v>-6.6685819999999998</v>
      </c>
      <c r="K117">
        <v>-5.8063960000000003</v>
      </c>
      <c r="L117">
        <v>-5.4114890000000004</v>
      </c>
      <c r="M117">
        <v>-5.4106180000000004</v>
      </c>
      <c r="N117" s="11">
        <f t="shared" si="8"/>
        <v>-4.9057066666666662</v>
      </c>
      <c r="O117" s="11">
        <f t="shared" si="9"/>
        <v>-6.6092353333333342</v>
      </c>
      <c r="P117" s="11">
        <f t="shared" si="10"/>
        <v>-5.9621556666666669</v>
      </c>
      <c r="Q117" s="11">
        <f t="shared" si="11"/>
        <v>-5.201750333333333</v>
      </c>
    </row>
    <row r="118" spans="1:17" x14ac:dyDescent="0.25">
      <c r="A118">
        <v>2017</v>
      </c>
      <c r="B118">
        <v>-5.3575629999999999</v>
      </c>
      <c r="C118">
        <v>-4.8370699999999998</v>
      </c>
      <c r="D118">
        <v>-4.3953600000000002</v>
      </c>
      <c r="E118">
        <v>-4.2110149999999997</v>
      </c>
      <c r="F118">
        <v>-4.8409930000000001</v>
      </c>
      <c r="G118">
        <v>-4.9766349999999999</v>
      </c>
      <c r="H118">
        <v>-5.5586909999999996</v>
      </c>
      <c r="I118">
        <v>-4.7102170000000001</v>
      </c>
      <c r="J118">
        <v>-4.9162699999999999</v>
      </c>
      <c r="K118">
        <v>-3.8605510000000001</v>
      </c>
      <c r="L118">
        <v>-3.8229880000000001</v>
      </c>
      <c r="M118">
        <v>-3.420903</v>
      </c>
      <c r="N118" s="11">
        <f t="shared" si="8"/>
        <v>-4.482456</v>
      </c>
      <c r="O118" s="11">
        <f t="shared" si="9"/>
        <v>-5.0818476666666665</v>
      </c>
      <c r="P118" s="11">
        <f t="shared" si="10"/>
        <v>-4.1999363333333335</v>
      </c>
      <c r="Q118" s="11">
        <f t="shared" si="11"/>
        <v>-3.4289613333333335</v>
      </c>
    </row>
    <row r="119" spans="1:17" x14ac:dyDescent="0.25">
      <c r="A119">
        <v>2018</v>
      </c>
      <c r="B119">
        <v>-3.3537729999999999</v>
      </c>
      <c r="C119">
        <v>-3.5122080000000002</v>
      </c>
      <c r="D119">
        <v>-2.3583560000000001</v>
      </c>
      <c r="E119">
        <v>-1.8755489999999999</v>
      </c>
      <c r="F119">
        <v>-2.5351750000000002</v>
      </c>
      <c r="G119">
        <v>-2.8395519999999999</v>
      </c>
      <c r="H119">
        <v>-3.5346030000000002</v>
      </c>
      <c r="I119">
        <v>-3.7040250000000001</v>
      </c>
      <c r="J119">
        <v>-3.1089030000000002</v>
      </c>
      <c r="K119">
        <v>-2.691694</v>
      </c>
      <c r="L119">
        <v>-1.814276</v>
      </c>
      <c r="M119">
        <v>-2.0595560000000002</v>
      </c>
      <c r="N119" s="11">
        <f t="shared" si="8"/>
        <v>-2.2563600000000004</v>
      </c>
      <c r="O119" s="11">
        <f t="shared" si="9"/>
        <v>-3.3593933333333332</v>
      </c>
      <c r="P119" s="11">
        <f t="shared" si="10"/>
        <v>-2.5382909999999996</v>
      </c>
      <c r="Q119" s="11" t="str">
        <f t="shared" si="11"/>
        <v/>
      </c>
    </row>
    <row r="120" spans="1:17" x14ac:dyDescent="0.25">
      <c r="A120">
        <v>2019</v>
      </c>
      <c r="N120" t="str">
        <f t="shared" si="8"/>
        <v/>
      </c>
      <c r="O120" t="str">
        <f t="shared" si="9"/>
        <v/>
      </c>
      <c r="P120" t="str">
        <f t="shared" si="10"/>
        <v/>
      </c>
      <c r="Q120" t="str">
        <f t="shared" si="11"/>
        <v/>
      </c>
    </row>
    <row r="121" spans="1:17" x14ac:dyDescent="0.25">
      <c r="A121">
        <v>2020</v>
      </c>
      <c r="N121" t="str">
        <f t="shared" si="8"/>
        <v/>
      </c>
      <c r="O121" t="str">
        <f t="shared" si="9"/>
        <v/>
      </c>
      <c r="P121" t="str">
        <f t="shared" si="10"/>
        <v/>
      </c>
      <c r="Q121" t="str">
        <f t="shared" si="11"/>
        <v/>
      </c>
    </row>
    <row r="122" spans="1:17" x14ac:dyDescent="0.25">
      <c r="A122">
        <v>2021</v>
      </c>
      <c r="N122" t="str">
        <f t="shared" si="8"/>
        <v/>
      </c>
      <c r="O122" t="str">
        <f t="shared" si="9"/>
        <v/>
      </c>
      <c r="P122" t="str">
        <f t="shared" si="10"/>
        <v/>
      </c>
      <c r="Q122" t="str">
        <f t="shared" si="11"/>
        <v/>
      </c>
    </row>
    <row r="123" spans="1:17" x14ac:dyDescent="0.25">
      <c r="A123">
        <v>2022</v>
      </c>
      <c r="N123" t="str">
        <f>IF(AND(ISNUMBER(D123),ISNUMBER(E123),ISNUMBER(F123)),AVERAGE(D123:F123),"")</f>
        <v/>
      </c>
      <c r="O123" t="str">
        <f>IF(AND(ISNUMBER(G123),ISNUMBER(H123),ISNUMBER(I123)),AVERAGE(G123:I123),"")</f>
        <v/>
      </c>
      <c r="P123" t="str">
        <f>IF(AND(ISNUMBER(J123),ISNUMBER(K123),ISNUMBER(L123)),AVERAGE(J123:L123),"")</f>
        <v/>
      </c>
      <c r="Q123" t="str">
        <f>IF(AND(ISNUMBER(M123),ISNUMBER(B124),ISNUMBER(C124)),AVERAGE(M123,B124:C124),"")</f>
        <v/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E6514-F817-47CA-AC57-18B45F0DFCC8}">
  <dimension ref="A1:Q123"/>
  <sheetViews>
    <sheetView zoomScale="70" zoomScaleNormal="70" workbookViewId="0"/>
  </sheetViews>
  <sheetFormatPr defaultColWidth="11" defaultRowHeight="15" x14ac:dyDescent="0.25"/>
  <cols>
    <col min="2" max="4" width="5" bestFit="1" customWidth="1"/>
    <col min="5" max="5" width="4" bestFit="1" customWidth="1"/>
    <col min="6" max="6" width="4.5703125" bestFit="1" customWidth="1"/>
    <col min="7" max="7" width="4" bestFit="1" customWidth="1"/>
    <col min="8" max="8" width="5" bestFit="1" customWidth="1"/>
    <col min="9" max="10" width="4" bestFit="1" customWidth="1"/>
    <col min="11" max="13" width="5" bestFit="1" customWidth="1"/>
    <col min="14" max="17" width="12" bestFit="1" customWidth="1"/>
  </cols>
  <sheetData>
    <row r="1" spans="1:17" x14ac:dyDescent="0.25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</row>
    <row r="3" spans="1:17" x14ac:dyDescent="0.25">
      <c r="A3">
        <v>1902</v>
      </c>
      <c r="B3">
        <v>-1.05</v>
      </c>
      <c r="C3">
        <v>7.9999990000000007E-2</v>
      </c>
      <c r="D3">
        <v>0.83999990000000002</v>
      </c>
      <c r="E3">
        <v>1.17</v>
      </c>
      <c r="F3">
        <v>3.11</v>
      </c>
      <c r="G3">
        <v>3.53</v>
      </c>
      <c r="H3">
        <v>2.88</v>
      </c>
      <c r="I3">
        <v>2.77</v>
      </c>
      <c r="J3">
        <v>-0.42</v>
      </c>
      <c r="K3">
        <v>-0.68</v>
      </c>
      <c r="L3">
        <v>-0.65</v>
      </c>
      <c r="M3">
        <v>-0.98</v>
      </c>
      <c r="N3" s="11">
        <f t="shared" ref="N3:N31" si="0">IF(AND(ISNUMBER(D3),ISNUMBER(E3),ISNUMBER(F3)),AVERAGE(D3:F3),"")</f>
        <v>1.7066666333333333</v>
      </c>
      <c r="O3" s="11">
        <f t="shared" ref="O3:O31" si="1">IF(AND(ISNUMBER(G3),ISNUMBER(H3),ISNUMBER(I3)),AVERAGE(G3:I3),"")</f>
        <v>3.06</v>
      </c>
      <c r="P3" s="11">
        <f t="shared" ref="P3:P31" si="2">IF(AND(ISNUMBER(J3),ISNUMBER(K3),ISNUMBER(L3)),AVERAGE(J3:L3),"")</f>
        <v>-0.58333333333333337</v>
      </c>
      <c r="Q3" s="11">
        <f t="shared" ref="Q3:Q31" si="3">IF(AND(ISNUMBER(M3),ISNUMBER(B4),ISNUMBER(C4)),AVERAGE(M3,B4:C4),"")</f>
        <v>-1.2533333333333332</v>
      </c>
    </row>
    <row r="4" spans="1:17" x14ac:dyDescent="0.25">
      <c r="A4">
        <v>1903</v>
      </c>
      <c r="B4">
        <v>-1.28</v>
      </c>
      <c r="C4">
        <v>-1.5</v>
      </c>
      <c r="D4">
        <v>-1.36</v>
      </c>
      <c r="E4">
        <v>-1.48</v>
      </c>
      <c r="F4">
        <v>-1.9</v>
      </c>
      <c r="G4">
        <v>-1.71</v>
      </c>
      <c r="H4">
        <v>-2.16</v>
      </c>
      <c r="I4">
        <v>-2.14</v>
      </c>
      <c r="J4">
        <v>-2.1800000000000002</v>
      </c>
      <c r="K4">
        <v>0.03</v>
      </c>
      <c r="L4">
        <v>-0.17</v>
      </c>
      <c r="M4">
        <v>7.0000000000000007E-2</v>
      </c>
      <c r="N4" s="11">
        <f t="shared" si="0"/>
        <v>-1.58</v>
      </c>
      <c r="O4" s="11">
        <f t="shared" si="1"/>
        <v>-2.0033333333333334</v>
      </c>
      <c r="P4" s="11">
        <f t="shared" si="2"/>
        <v>-0.77333333333333343</v>
      </c>
      <c r="Q4" s="11">
        <f t="shared" si="3"/>
        <v>2.6666666666666672E-2</v>
      </c>
    </row>
    <row r="5" spans="1:17" x14ac:dyDescent="0.25">
      <c r="A5">
        <v>1904</v>
      </c>
      <c r="B5">
        <v>0.33</v>
      </c>
      <c r="C5">
        <v>-0.32</v>
      </c>
      <c r="D5">
        <v>-0.57000010000000001</v>
      </c>
      <c r="E5">
        <v>-0.62</v>
      </c>
      <c r="F5">
        <v>-0.67</v>
      </c>
      <c r="G5">
        <v>0.09</v>
      </c>
      <c r="H5">
        <v>1.28</v>
      </c>
      <c r="I5">
        <v>0.7</v>
      </c>
      <c r="J5">
        <v>1.55</v>
      </c>
      <c r="K5">
        <v>1.39</v>
      </c>
      <c r="L5">
        <v>-0.04</v>
      </c>
      <c r="M5">
        <v>-0.13</v>
      </c>
      <c r="N5" s="11">
        <f t="shared" si="0"/>
        <v>-0.62000003333333342</v>
      </c>
      <c r="O5" s="11">
        <f t="shared" si="1"/>
        <v>0.69000000000000006</v>
      </c>
      <c r="P5" s="11">
        <f t="shared" si="2"/>
        <v>0.96666666666666667</v>
      </c>
      <c r="Q5" s="11">
        <f t="shared" si="3"/>
        <v>-0.6</v>
      </c>
    </row>
    <row r="6" spans="1:17" x14ac:dyDescent="0.25">
      <c r="A6">
        <v>1905</v>
      </c>
      <c r="B6">
        <v>-0.57999999999999996</v>
      </c>
      <c r="C6">
        <v>-1.0900000000000001</v>
      </c>
      <c r="D6">
        <v>0.31</v>
      </c>
      <c r="E6">
        <v>-0.24</v>
      </c>
      <c r="F6">
        <v>-0.55000000000000004</v>
      </c>
      <c r="G6">
        <v>-0.62</v>
      </c>
      <c r="H6">
        <v>-0.96</v>
      </c>
      <c r="I6">
        <v>0.91</v>
      </c>
      <c r="J6">
        <v>1.04</v>
      </c>
      <c r="K6">
        <v>2.35</v>
      </c>
      <c r="L6">
        <v>1.7</v>
      </c>
      <c r="M6">
        <v>1.27</v>
      </c>
      <c r="N6" s="11">
        <f t="shared" si="0"/>
        <v>-0.16</v>
      </c>
      <c r="O6" s="11">
        <f t="shared" si="1"/>
        <v>-0.22333333333333336</v>
      </c>
      <c r="P6" s="11">
        <f t="shared" si="2"/>
        <v>1.6966666666666665</v>
      </c>
      <c r="Q6" s="11">
        <f t="shared" si="3"/>
        <v>1.1199999999999999</v>
      </c>
    </row>
    <row r="7" spans="1:17" x14ac:dyDescent="0.25">
      <c r="A7">
        <v>1906</v>
      </c>
      <c r="B7">
        <v>1.07</v>
      </c>
      <c r="C7">
        <v>1.02</v>
      </c>
      <c r="D7">
        <v>1.82</v>
      </c>
      <c r="E7">
        <v>1.85</v>
      </c>
      <c r="F7">
        <v>-3.0000010000000001E-2</v>
      </c>
      <c r="G7">
        <v>-0.69999990000000001</v>
      </c>
      <c r="H7">
        <v>-0.97</v>
      </c>
      <c r="I7">
        <v>-1.53</v>
      </c>
      <c r="J7">
        <v>-1.65</v>
      </c>
      <c r="K7">
        <v>-1.94</v>
      </c>
      <c r="L7">
        <v>-2.38</v>
      </c>
      <c r="M7">
        <v>-2.71</v>
      </c>
      <c r="N7" s="11">
        <f t="shared" si="0"/>
        <v>1.21333333</v>
      </c>
      <c r="O7" s="11">
        <f t="shared" si="1"/>
        <v>-1.0666666333333332</v>
      </c>
      <c r="P7" s="11">
        <f t="shared" si="2"/>
        <v>-1.99</v>
      </c>
      <c r="Q7" s="11">
        <f t="shared" si="3"/>
        <v>-2.9</v>
      </c>
    </row>
    <row r="8" spans="1:17" x14ac:dyDescent="0.25">
      <c r="A8">
        <v>1907</v>
      </c>
      <c r="B8">
        <v>-2.99</v>
      </c>
      <c r="C8">
        <v>-3</v>
      </c>
      <c r="D8">
        <v>-2.79</v>
      </c>
      <c r="E8">
        <v>-2.73</v>
      </c>
      <c r="F8">
        <v>-2.97</v>
      </c>
      <c r="G8">
        <v>-2.39</v>
      </c>
      <c r="H8">
        <v>-2.44</v>
      </c>
      <c r="I8">
        <v>-2.61</v>
      </c>
      <c r="J8">
        <v>-2</v>
      </c>
      <c r="K8">
        <v>-1.76</v>
      </c>
      <c r="L8">
        <v>-1.81</v>
      </c>
      <c r="M8">
        <v>-1.53</v>
      </c>
      <c r="N8" s="11">
        <f t="shared" si="0"/>
        <v>-2.83</v>
      </c>
      <c r="O8" s="11">
        <f t="shared" si="1"/>
        <v>-2.48</v>
      </c>
      <c r="P8" s="11">
        <f t="shared" si="2"/>
        <v>-1.8566666666666667</v>
      </c>
      <c r="Q8" s="11">
        <f t="shared" si="3"/>
        <v>-1.7333333333333334</v>
      </c>
    </row>
    <row r="9" spans="1:17" x14ac:dyDescent="0.25">
      <c r="A9">
        <v>1908</v>
      </c>
      <c r="B9">
        <v>-1.78</v>
      </c>
      <c r="C9">
        <v>-1.89</v>
      </c>
      <c r="D9">
        <v>-2.2000000000000002</v>
      </c>
      <c r="E9">
        <v>-1.87</v>
      </c>
      <c r="F9">
        <v>-2.2400000000000002</v>
      </c>
      <c r="G9">
        <v>-2.84</v>
      </c>
      <c r="H9">
        <v>-3.65</v>
      </c>
      <c r="I9">
        <v>-4.12</v>
      </c>
      <c r="J9">
        <v>-4.25</v>
      </c>
      <c r="K9">
        <v>-3.96</v>
      </c>
      <c r="L9">
        <v>-3.93</v>
      </c>
      <c r="M9">
        <v>-3.97</v>
      </c>
      <c r="N9" s="11">
        <f t="shared" si="0"/>
        <v>-2.1033333333333335</v>
      </c>
      <c r="O9" s="11">
        <f t="shared" si="1"/>
        <v>-3.5366666666666666</v>
      </c>
      <c r="P9" s="11">
        <f t="shared" si="2"/>
        <v>-4.0466666666666669</v>
      </c>
      <c r="Q9" s="11">
        <f t="shared" si="3"/>
        <v>-4.09</v>
      </c>
    </row>
    <row r="10" spans="1:17" x14ac:dyDescent="0.25">
      <c r="A10">
        <v>1909</v>
      </c>
      <c r="B10">
        <v>-4.1100000000000003</v>
      </c>
      <c r="C10">
        <v>-4.1900000000000004</v>
      </c>
      <c r="D10">
        <v>-4.58</v>
      </c>
      <c r="E10">
        <v>-4.59</v>
      </c>
      <c r="F10">
        <v>-4.8899999999999997</v>
      </c>
      <c r="G10">
        <v>-5.3299989999999999</v>
      </c>
      <c r="H10">
        <v>-5.76</v>
      </c>
      <c r="I10">
        <v>-4.83</v>
      </c>
      <c r="J10">
        <v>-5.17</v>
      </c>
      <c r="K10">
        <v>-4.76</v>
      </c>
      <c r="L10">
        <v>-4.74</v>
      </c>
      <c r="M10">
        <v>-4.63</v>
      </c>
      <c r="N10" s="11">
        <f t="shared" si="0"/>
        <v>-4.6866666666666665</v>
      </c>
      <c r="O10" s="11">
        <f t="shared" si="1"/>
        <v>-5.3066663333333333</v>
      </c>
      <c r="P10" s="11">
        <f t="shared" si="2"/>
        <v>-4.8899999999999997</v>
      </c>
      <c r="Q10" s="11">
        <f t="shared" si="3"/>
        <v>-4.2033333333333331</v>
      </c>
    </row>
    <row r="11" spans="1:17" x14ac:dyDescent="0.25">
      <c r="A11">
        <v>1910</v>
      </c>
      <c r="B11">
        <v>-4.28</v>
      </c>
      <c r="C11">
        <v>-3.7</v>
      </c>
      <c r="D11">
        <v>-3.99</v>
      </c>
      <c r="E11">
        <v>-3.95</v>
      </c>
      <c r="F11">
        <v>-4.2</v>
      </c>
      <c r="G11">
        <v>-2.9</v>
      </c>
      <c r="H11">
        <v>-2.73</v>
      </c>
      <c r="I11">
        <v>-1.81</v>
      </c>
      <c r="J11">
        <v>-2.33</v>
      </c>
      <c r="K11">
        <v>-2.7</v>
      </c>
      <c r="L11">
        <v>-2.87</v>
      </c>
      <c r="M11">
        <v>-3.3</v>
      </c>
      <c r="N11" s="11">
        <f t="shared" si="0"/>
        <v>-4.0466666666666669</v>
      </c>
      <c r="O11" s="11">
        <f t="shared" si="1"/>
        <v>-2.48</v>
      </c>
      <c r="P11" s="11">
        <f t="shared" si="2"/>
        <v>-2.6333333333333333</v>
      </c>
      <c r="Q11" s="11">
        <f t="shared" si="3"/>
        <v>-3.293333333333333</v>
      </c>
    </row>
    <row r="12" spans="1:17" x14ac:dyDescent="0.25">
      <c r="A12">
        <v>1911</v>
      </c>
      <c r="B12">
        <v>-3.26</v>
      </c>
      <c r="C12">
        <v>-3.32</v>
      </c>
      <c r="D12">
        <v>-3.59</v>
      </c>
      <c r="E12">
        <v>-2.4900000000000002</v>
      </c>
      <c r="F12">
        <v>-2.13</v>
      </c>
      <c r="G12">
        <v>-2.77</v>
      </c>
      <c r="H12">
        <v>-3.22</v>
      </c>
      <c r="I12">
        <v>-3.25</v>
      </c>
      <c r="J12">
        <v>-3.07</v>
      </c>
      <c r="K12">
        <v>-3.29</v>
      </c>
      <c r="L12">
        <v>-3.06</v>
      </c>
      <c r="M12">
        <v>-2.97</v>
      </c>
      <c r="N12" s="11">
        <f t="shared" si="0"/>
        <v>-2.7366666666666668</v>
      </c>
      <c r="O12" s="11">
        <f t="shared" si="1"/>
        <v>-3.08</v>
      </c>
      <c r="P12" s="11">
        <f t="shared" si="2"/>
        <v>-3.14</v>
      </c>
      <c r="Q12" s="11">
        <f t="shared" si="3"/>
        <v>-2.813333333333333</v>
      </c>
    </row>
    <row r="13" spans="1:17" x14ac:dyDescent="0.25">
      <c r="A13">
        <v>1912</v>
      </c>
      <c r="B13">
        <v>-3.07</v>
      </c>
      <c r="C13">
        <v>-2.4</v>
      </c>
      <c r="D13">
        <v>-2.5</v>
      </c>
      <c r="E13">
        <v>-1.89</v>
      </c>
      <c r="F13">
        <v>-1.83</v>
      </c>
      <c r="G13">
        <v>-1.81</v>
      </c>
      <c r="H13">
        <v>-2.19</v>
      </c>
      <c r="I13">
        <v>-2.15</v>
      </c>
      <c r="J13">
        <v>-2.71</v>
      </c>
      <c r="K13">
        <v>-2.68</v>
      </c>
      <c r="L13">
        <v>-2.5</v>
      </c>
      <c r="M13">
        <v>-2.4900000000000002</v>
      </c>
      <c r="N13" s="11">
        <f t="shared" si="0"/>
        <v>-2.0733333333333333</v>
      </c>
      <c r="O13" s="11">
        <f t="shared" si="1"/>
        <v>-2.0500000000000003</v>
      </c>
      <c r="P13" s="11">
        <f t="shared" si="2"/>
        <v>-2.6300000000000003</v>
      </c>
      <c r="Q13" s="11">
        <f t="shared" si="3"/>
        <v>-2.7133333333333334</v>
      </c>
    </row>
    <row r="14" spans="1:17" x14ac:dyDescent="0.25">
      <c r="A14">
        <v>1913</v>
      </c>
      <c r="B14">
        <v>-2.83</v>
      </c>
      <c r="C14">
        <v>-2.82</v>
      </c>
      <c r="D14">
        <v>-0.06</v>
      </c>
      <c r="E14">
        <v>1.3</v>
      </c>
      <c r="F14">
        <v>2.0499999999999998</v>
      </c>
      <c r="G14">
        <v>1.57</v>
      </c>
      <c r="H14">
        <v>2.7</v>
      </c>
      <c r="I14">
        <v>2.13</v>
      </c>
      <c r="J14">
        <v>2.0499999999999998</v>
      </c>
      <c r="K14">
        <v>-0.3</v>
      </c>
      <c r="L14">
        <v>-0.95</v>
      </c>
      <c r="M14">
        <v>-1.35</v>
      </c>
      <c r="N14" s="11">
        <f t="shared" si="0"/>
        <v>1.0966666666666667</v>
      </c>
      <c r="O14" s="11">
        <f t="shared" si="1"/>
        <v>2.1333333333333333</v>
      </c>
      <c r="P14" s="11">
        <f t="shared" si="2"/>
        <v>0.26666666666666661</v>
      </c>
      <c r="Q14" s="11">
        <f t="shared" si="3"/>
        <v>-1.2766666666666666</v>
      </c>
    </row>
    <row r="15" spans="1:17" x14ac:dyDescent="0.25">
      <c r="A15">
        <v>1914</v>
      </c>
      <c r="B15">
        <v>-1.04</v>
      </c>
      <c r="C15">
        <v>-1.44</v>
      </c>
      <c r="D15">
        <v>-1.64</v>
      </c>
      <c r="E15">
        <v>-1.95</v>
      </c>
      <c r="F15">
        <v>-8.0000009999999996E-2</v>
      </c>
      <c r="G15">
        <v>0.88</v>
      </c>
      <c r="H15">
        <v>0.95</v>
      </c>
      <c r="I15">
        <v>0.69000010000000001</v>
      </c>
      <c r="J15">
        <v>1.2</v>
      </c>
      <c r="K15">
        <v>0.63</v>
      </c>
      <c r="L15">
        <v>1.5</v>
      </c>
      <c r="M15">
        <v>1.19</v>
      </c>
      <c r="N15" s="11">
        <f t="shared" si="0"/>
        <v>-1.2233333366666665</v>
      </c>
      <c r="O15" s="11">
        <f t="shared" si="1"/>
        <v>0.84000003333333328</v>
      </c>
      <c r="P15" s="11">
        <f t="shared" si="2"/>
        <v>1.1100000000000001</v>
      </c>
      <c r="Q15" s="11">
        <f t="shared" si="3"/>
        <v>0.91333336666666665</v>
      </c>
    </row>
    <row r="16" spans="1:17" x14ac:dyDescent="0.25">
      <c r="A16">
        <v>1915</v>
      </c>
      <c r="B16">
        <v>0.72000010000000003</v>
      </c>
      <c r="C16">
        <v>0.83</v>
      </c>
      <c r="D16">
        <v>0.6</v>
      </c>
      <c r="E16">
        <v>2.2200000000000002</v>
      </c>
      <c r="F16">
        <v>3.8599990000000002</v>
      </c>
      <c r="G16">
        <v>4.0199999999999996</v>
      </c>
      <c r="H16">
        <v>5.21</v>
      </c>
      <c r="I16">
        <v>4.59</v>
      </c>
      <c r="J16">
        <v>3.7</v>
      </c>
      <c r="K16">
        <v>3.25</v>
      </c>
      <c r="L16">
        <v>2.73</v>
      </c>
      <c r="M16">
        <v>2.14</v>
      </c>
      <c r="N16" s="11">
        <f t="shared" si="0"/>
        <v>2.2266663333333336</v>
      </c>
      <c r="O16" s="11">
        <f t="shared" si="1"/>
        <v>4.6066666666666665</v>
      </c>
      <c r="P16" s="11">
        <f t="shared" si="2"/>
        <v>3.2266666666666666</v>
      </c>
      <c r="Q16" s="11">
        <f t="shared" si="3"/>
        <v>1.7133333333333336</v>
      </c>
    </row>
    <row r="17" spans="1:17" x14ac:dyDescent="0.25">
      <c r="A17">
        <v>1916</v>
      </c>
      <c r="B17">
        <v>1.81</v>
      </c>
      <c r="C17">
        <v>1.19</v>
      </c>
      <c r="D17">
        <v>2.0499999999999998</v>
      </c>
      <c r="E17">
        <v>1.63</v>
      </c>
      <c r="F17">
        <v>1.59</v>
      </c>
      <c r="G17">
        <v>-1.01</v>
      </c>
      <c r="H17">
        <v>-1.52</v>
      </c>
      <c r="I17">
        <v>-1.4</v>
      </c>
      <c r="J17">
        <v>-1.1399999999999999</v>
      </c>
      <c r="K17">
        <v>-1.54</v>
      </c>
      <c r="L17">
        <v>0.1</v>
      </c>
      <c r="M17">
        <v>0.38</v>
      </c>
      <c r="N17" s="11">
        <f t="shared" si="0"/>
        <v>1.7566666666666666</v>
      </c>
      <c r="O17" s="11">
        <f t="shared" si="1"/>
        <v>-1.31</v>
      </c>
      <c r="P17" s="11">
        <f t="shared" si="2"/>
        <v>-0.85999999999999988</v>
      </c>
      <c r="Q17" s="11">
        <f t="shared" si="3"/>
        <v>0.53666670000000005</v>
      </c>
    </row>
    <row r="18" spans="1:17" x14ac:dyDescent="0.25">
      <c r="A18">
        <v>1917</v>
      </c>
      <c r="B18">
        <v>0.54</v>
      </c>
      <c r="C18">
        <v>0.69000010000000001</v>
      </c>
      <c r="D18">
        <v>-0.24</v>
      </c>
      <c r="E18">
        <v>-0.86</v>
      </c>
      <c r="F18">
        <v>-1.75</v>
      </c>
      <c r="G18">
        <v>-1.47</v>
      </c>
      <c r="H18">
        <v>-1.88</v>
      </c>
      <c r="I18">
        <v>-1.92</v>
      </c>
      <c r="J18">
        <v>-1.28</v>
      </c>
      <c r="K18">
        <v>-1.45</v>
      </c>
      <c r="L18">
        <v>-1.64</v>
      </c>
      <c r="M18">
        <v>-1.62</v>
      </c>
      <c r="N18" s="11">
        <f t="shared" si="0"/>
        <v>-0.95000000000000007</v>
      </c>
      <c r="O18" s="11">
        <f t="shared" si="1"/>
        <v>-1.7566666666666666</v>
      </c>
      <c r="P18" s="11">
        <f t="shared" si="2"/>
        <v>-1.4566666666666668</v>
      </c>
      <c r="Q18" s="11">
        <f t="shared" si="3"/>
        <v>-1.5333333333333334</v>
      </c>
    </row>
    <row r="19" spans="1:17" x14ac:dyDescent="0.25">
      <c r="A19">
        <v>1918</v>
      </c>
      <c r="B19">
        <v>-1.32</v>
      </c>
      <c r="C19">
        <v>-1.66</v>
      </c>
      <c r="D19">
        <v>0.80999989999999999</v>
      </c>
      <c r="E19">
        <v>1.27</v>
      </c>
      <c r="F19">
        <v>2.71</v>
      </c>
      <c r="G19">
        <v>2.52</v>
      </c>
      <c r="H19">
        <v>2.12</v>
      </c>
      <c r="I19">
        <v>1.84</v>
      </c>
      <c r="J19">
        <v>1.61</v>
      </c>
      <c r="K19">
        <v>1.32</v>
      </c>
      <c r="L19">
        <v>2.04</v>
      </c>
      <c r="M19">
        <v>2.13</v>
      </c>
      <c r="N19" s="11">
        <f t="shared" si="0"/>
        <v>1.5966666333333333</v>
      </c>
      <c r="O19" s="11">
        <f t="shared" si="1"/>
        <v>2.16</v>
      </c>
      <c r="P19" s="11">
        <f t="shared" si="2"/>
        <v>1.656666666666667</v>
      </c>
      <c r="Q19" s="11">
        <f t="shared" si="3"/>
        <v>1.89</v>
      </c>
    </row>
    <row r="20" spans="1:17" x14ac:dyDescent="0.25">
      <c r="A20">
        <v>1919</v>
      </c>
      <c r="B20">
        <v>1.71</v>
      </c>
      <c r="C20">
        <v>1.83</v>
      </c>
      <c r="D20">
        <v>2.48</v>
      </c>
      <c r="E20">
        <v>2.63</v>
      </c>
      <c r="F20">
        <v>3.8</v>
      </c>
      <c r="G20">
        <v>3.34</v>
      </c>
      <c r="H20">
        <v>2.95</v>
      </c>
      <c r="I20">
        <v>-0.26</v>
      </c>
      <c r="J20">
        <v>-0.28999999999999998</v>
      </c>
      <c r="K20">
        <v>-0.62</v>
      </c>
      <c r="L20">
        <v>0.42</v>
      </c>
      <c r="M20">
        <v>-0.04</v>
      </c>
      <c r="N20" s="11">
        <f t="shared" si="0"/>
        <v>2.97</v>
      </c>
      <c r="O20" s="11">
        <f t="shared" si="1"/>
        <v>2.0100000000000002</v>
      </c>
      <c r="P20" s="11">
        <f t="shared" si="2"/>
        <v>-0.1633333333333333</v>
      </c>
      <c r="Q20" s="11">
        <f t="shared" si="3"/>
        <v>-0.41333333333333333</v>
      </c>
    </row>
    <row r="21" spans="1:17" x14ac:dyDescent="0.25">
      <c r="A21">
        <v>1920</v>
      </c>
      <c r="B21">
        <v>-0.34</v>
      </c>
      <c r="C21">
        <v>-0.86</v>
      </c>
      <c r="D21">
        <v>0.98</v>
      </c>
      <c r="E21">
        <v>1.21</v>
      </c>
      <c r="F21">
        <v>2.95</v>
      </c>
      <c r="G21">
        <v>2.8</v>
      </c>
      <c r="H21">
        <v>1.96</v>
      </c>
      <c r="I21">
        <v>1.45</v>
      </c>
      <c r="J21">
        <v>1.55</v>
      </c>
      <c r="K21">
        <v>1.72</v>
      </c>
      <c r="L21">
        <v>2.36</v>
      </c>
      <c r="M21">
        <v>2.34</v>
      </c>
      <c r="N21" s="11">
        <f t="shared" si="0"/>
        <v>1.7133333333333336</v>
      </c>
      <c r="O21" s="11">
        <f t="shared" si="1"/>
        <v>2.0699999999999998</v>
      </c>
      <c r="P21" s="11">
        <f t="shared" si="2"/>
        <v>1.8766666666666667</v>
      </c>
      <c r="Q21" s="11">
        <f t="shared" si="3"/>
        <v>2.8366666666666664</v>
      </c>
    </row>
    <row r="22" spans="1:17" x14ac:dyDescent="0.25">
      <c r="A22">
        <v>1921</v>
      </c>
      <c r="B22">
        <v>2.98</v>
      </c>
      <c r="C22">
        <v>3.19</v>
      </c>
      <c r="D22">
        <v>2.41</v>
      </c>
      <c r="E22">
        <v>3.64</v>
      </c>
      <c r="F22">
        <v>4.1500000000000004</v>
      </c>
      <c r="G22">
        <v>4.1399999999999997</v>
      </c>
      <c r="H22">
        <v>2.59</v>
      </c>
      <c r="I22">
        <v>4.2699999999999996</v>
      </c>
      <c r="J22">
        <v>3.28</v>
      </c>
      <c r="K22">
        <v>2.72</v>
      </c>
      <c r="L22">
        <v>1.7</v>
      </c>
      <c r="M22">
        <v>2.96</v>
      </c>
      <c r="N22" s="11">
        <f t="shared" si="0"/>
        <v>3.4000000000000004</v>
      </c>
      <c r="O22" s="11">
        <f t="shared" si="1"/>
        <v>3.6666666666666665</v>
      </c>
      <c r="P22" s="11">
        <f t="shared" si="2"/>
        <v>2.5666666666666669</v>
      </c>
      <c r="Q22" s="11">
        <f t="shared" si="3"/>
        <v>2.6133333333333333</v>
      </c>
    </row>
    <row r="23" spans="1:17" x14ac:dyDescent="0.25">
      <c r="A23">
        <v>1922</v>
      </c>
      <c r="B23">
        <v>2.77</v>
      </c>
      <c r="C23">
        <v>2.11</v>
      </c>
      <c r="D23">
        <v>3.1</v>
      </c>
      <c r="E23">
        <v>1.97</v>
      </c>
      <c r="F23">
        <v>0.9</v>
      </c>
      <c r="G23">
        <v>0.73</v>
      </c>
      <c r="H23">
        <v>3.64</v>
      </c>
      <c r="I23">
        <v>3.73</v>
      </c>
      <c r="J23">
        <v>2.72</v>
      </c>
      <c r="K23">
        <v>2.13</v>
      </c>
      <c r="L23">
        <v>1.35</v>
      </c>
      <c r="M23">
        <v>0.91</v>
      </c>
      <c r="N23" s="11">
        <f t="shared" si="0"/>
        <v>1.9900000000000002</v>
      </c>
      <c r="O23" s="11">
        <f t="shared" si="1"/>
        <v>2.6999999999999997</v>
      </c>
      <c r="P23" s="11">
        <f t="shared" si="2"/>
        <v>2.0666666666666664</v>
      </c>
      <c r="Q23" s="11">
        <f t="shared" si="3"/>
        <v>0.79000006666666678</v>
      </c>
    </row>
    <row r="24" spans="1:17" x14ac:dyDescent="0.25">
      <c r="A24">
        <v>1923</v>
      </c>
      <c r="B24">
        <v>0.66000009999999998</v>
      </c>
      <c r="C24">
        <v>0.80000009999999999</v>
      </c>
      <c r="D24">
        <v>2.62</v>
      </c>
      <c r="E24">
        <v>-0.25</v>
      </c>
      <c r="F24">
        <v>-0.83</v>
      </c>
      <c r="G24">
        <v>-1.52</v>
      </c>
      <c r="H24">
        <v>-1.95</v>
      </c>
      <c r="I24">
        <v>-1.91</v>
      </c>
      <c r="J24">
        <v>0.83</v>
      </c>
      <c r="K24">
        <v>1.22</v>
      </c>
      <c r="L24">
        <v>1.19</v>
      </c>
      <c r="M24">
        <v>1.32</v>
      </c>
      <c r="N24" s="11">
        <f t="shared" si="0"/>
        <v>0.51333333333333331</v>
      </c>
      <c r="O24" s="11">
        <f t="shared" si="1"/>
        <v>-1.7933333333333332</v>
      </c>
      <c r="P24" s="11">
        <f t="shared" si="2"/>
        <v>1.0799999999999998</v>
      </c>
      <c r="Q24" s="11">
        <f t="shared" si="3"/>
        <v>1.38</v>
      </c>
    </row>
    <row r="25" spans="1:17" x14ac:dyDescent="0.25">
      <c r="A25">
        <v>1924</v>
      </c>
      <c r="B25">
        <v>0.73</v>
      </c>
      <c r="C25">
        <v>2.09</v>
      </c>
      <c r="D25">
        <v>3.13</v>
      </c>
      <c r="E25">
        <v>3.03</v>
      </c>
      <c r="F25">
        <v>2.0699999999999998</v>
      </c>
      <c r="G25">
        <v>3.03</v>
      </c>
      <c r="H25">
        <v>3.25</v>
      </c>
      <c r="I25">
        <v>-0.93</v>
      </c>
      <c r="J25">
        <v>-1.28</v>
      </c>
      <c r="K25">
        <v>-1.44</v>
      </c>
      <c r="L25">
        <v>-1.56</v>
      </c>
      <c r="M25">
        <v>-1.77</v>
      </c>
      <c r="N25" s="11">
        <f t="shared" si="0"/>
        <v>2.7433333333333336</v>
      </c>
      <c r="O25" s="11">
        <f t="shared" si="1"/>
        <v>1.7833333333333332</v>
      </c>
      <c r="P25" s="11">
        <f t="shared" si="2"/>
        <v>-1.4266666666666665</v>
      </c>
      <c r="Q25" s="11">
        <f t="shared" si="3"/>
        <v>-1.7066666666666668</v>
      </c>
    </row>
    <row r="26" spans="1:17" x14ac:dyDescent="0.25">
      <c r="A26">
        <v>1925</v>
      </c>
      <c r="B26">
        <v>-1.81</v>
      </c>
      <c r="C26">
        <v>-1.54</v>
      </c>
      <c r="D26">
        <v>-1.77</v>
      </c>
      <c r="E26">
        <v>-1.17</v>
      </c>
      <c r="F26">
        <v>-1.51</v>
      </c>
      <c r="G26">
        <v>-1.32</v>
      </c>
      <c r="H26">
        <v>-1.58</v>
      </c>
      <c r="I26">
        <v>0.84</v>
      </c>
      <c r="J26">
        <v>1.03</v>
      </c>
      <c r="K26">
        <v>-0.57999999999999996</v>
      </c>
      <c r="L26">
        <v>0.28000000000000003</v>
      </c>
      <c r="M26">
        <v>0.22</v>
      </c>
      <c r="N26" s="11">
        <f t="shared" si="0"/>
        <v>-1.4833333333333334</v>
      </c>
      <c r="O26" s="11">
        <f t="shared" si="1"/>
        <v>-0.68666666666666687</v>
      </c>
      <c r="P26" s="11">
        <f t="shared" si="2"/>
        <v>0.24333333333333337</v>
      </c>
      <c r="Q26" s="11">
        <f t="shared" si="3"/>
        <v>0.37333333333333335</v>
      </c>
    </row>
    <row r="27" spans="1:17" x14ac:dyDescent="0.25">
      <c r="A27">
        <v>1926</v>
      </c>
      <c r="B27">
        <v>0.45</v>
      </c>
      <c r="C27">
        <v>0.45</v>
      </c>
      <c r="D27">
        <v>1.43</v>
      </c>
      <c r="E27">
        <v>0.02</v>
      </c>
      <c r="F27">
        <v>-0.67</v>
      </c>
      <c r="G27">
        <v>-0.87</v>
      </c>
      <c r="H27">
        <v>-1.1200000000000001</v>
      </c>
      <c r="I27">
        <v>-1.37</v>
      </c>
      <c r="J27">
        <v>-1.59</v>
      </c>
      <c r="K27">
        <v>-1.64</v>
      </c>
      <c r="L27">
        <v>1.1299999999999999</v>
      </c>
      <c r="M27">
        <v>1.42</v>
      </c>
      <c r="N27" s="11">
        <f t="shared" si="0"/>
        <v>0.25999999999999995</v>
      </c>
      <c r="O27" s="11">
        <f t="shared" si="1"/>
        <v>-1.1200000000000001</v>
      </c>
      <c r="P27" s="11">
        <f t="shared" si="2"/>
        <v>-0.70000000000000007</v>
      </c>
      <c r="Q27" s="11">
        <f t="shared" si="3"/>
        <v>1.5666666666666664</v>
      </c>
    </row>
    <row r="28" spans="1:17" x14ac:dyDescent="0.25">
      <c r="A28">
        <v>1927</v>
      </c>
      <c r="B28">
        <v>1.39</v>
      </c>
      <c r="C28">
        <v>1.89</v>
      </c>
      <c r="D28">
        <v>1.38</v>
      </c>
      <c r="E28">
        <v>1.8</v>
      </c>
      <c r="F28">
        <v>-0.3</v>
      </c>
      <c r="G28">
        <v>-1.03</v>
      </c>
      <c r="H28">
        <v>-1.21</v>
      </c>
      <c r="I28">
        <v>9.9999900000000003E-3</v>
      </c>
      <c r="J28">
        <v>0.86999990000000005</v>
      </c>
      <c r="K28">
        <v>-0.54</v>
      </c>
      <c r="L28">
        <v>-0.93</v>
      </c>
      <c r="M28">
        <v>-1.27</v>
      </c>
      <c r="N28" s="11">
        <f t="shared" si="0"/>
        <v>0.96</v>
      </c>
      <c r="O28" s="11">
        <f t="shared" si="1"/>
        <v>-0.74333333666666679</v>
      </c>
      <c r="P28" s="11">
        <f t="shared" si="2"/>
        <v>-0.20000003333333335</v>
      </c>
      <c r="Q28" s="11">
        <f t="shared" si="3"/>
        <v>-0.35333333333333333</v>
      </c>
    </row>
    <row r="29" spans="1:17" x14ac:dyDescent="0.25">
      <c r="A29">
        <v>1928</v>
      </c>
      <c r="B29">
        <v>0.03</v>
      </c>
      <c r="C29">
        <v>0.18</v>
      </c>
      <c r="D29">
        <v>0.3</v>
      </c>
      <c r="E29">
        <v>0.62</v>
      </c>
      <c r="F29">
        <v>-0.66</v>
      </c>
      <c r="G29">
        <v>-1.17</v>
      </c>
      <c r="H29">
        <v>0.41</v>
      </c>
      <c r="I29">
        <v>-0.4</v>
      </c>
      <c r="J29">
        <v>-1.1200000000000001</v>
      </c>
      <c r="K29">
        <v>-1.26</v>
      </c>
      <c r="L29">
        <v>-0.03</v>
      </c>
      <c r="M29">
        <v>0.97</v>
      </c>
      <c r="N29" s="11">
        <f t="shared" si="0"/>
        <v>8.6666666666666628E-2</v>
      </c>
      <c r="O29" s="11">
        <f t="shared" si="1"/>
        <v>-0.38666666666666671</v>
      </c>
      <c r="P29" s="11">
        <f t="shared" si="2"/>
        <v>-0.80333333333333323</v>
      </c>
      <c r="Q29" s="11">
        <f t="shared" si="3"/>
        <v>1.4400000000000002</v>
      </c>
    </row>
    <row r="30" spans="1:17" x14ac:dyDescent="0.25">
      <c r="A30">
        <v>1929</v>
      </c>
      <c r="B30">
        <v>1.1499999999999999</v>
      </c>
      <c r="C30">
        <v>2.2000000000000002</v>
      </c>
      <c r="D30">
        <v>-0.27</v>
      </c>
      <c r="E30">
        <v>-0.26</v>
      </c>
      <c r="F30">
        <v>-1.22</v>
      </c>
      <c r="G30">
        <v>-1.35</v>
      </c>
      <c r="H30">
        <v>-1.46</v>
      </c>
      <c r="I30">
        <v>-3.9999989999999999E-2</v>
      </c>
      <c r="J30">
        <v>0.08</v>
      </c>
      <c r="K30">
        <v>-9.9999990000000007E-3</v>
      </c>
      <c r="L30">
        <v>-0.16</v>
      </c>
      <c r="M30">
        <v>0.76</v>
      </c>
      <c r="N30" s="11">
        <f t="shared" si="0"/>
        <v>-0.58333333333333337</v>
      </c>
      <c r="O30" s="11">
        <f t="shared" si="1"/>
        <v>-0.94999999666666668</v>
      </c>
      <c r="P30" s="11">
        <f t="shared" si="2"/>
        <v>-2.9999999666666666E-2</v>
      </c>
      <c r="Q30" s="11">
        <f t="shared" si="3"/>
        <v>0.55666666666666664</v>
      </c>
    </row>
    <row r="31" spans="1:17" x14ac:dyDescent="0.25">
      <c r="A31">
        <v>1930</v>
      </c>
      <c r="B31">
        <v>0.53</v>
      </c>
      <c r="C31">
        <v>0.38</v>
      </c>
      <c r="D31">
        <v>0.09</v>
      </c>
      <c r="E31">
        <v>0.9</v>
      </c>
      <c r="F31">
        <v>0.81</v>
      </c>
      <c r="G31">
        <v>2.39</v>
      </c>
      <c r="H31">
        <v>2.37</v>
      </c>
      <c r="I31">
        <v>-0.64</v>
      </c>
      <c r="J31">
        <v>-0.95</v>
      </c>
      <c r="K31">
        <v>-1.1100000000000001</v>
      </c>
      <c r="L31">
        <v>0.39</v>
      </c>
      <c r="M31">
        <v>0.77</v>
      </c>
      <c r="N31" s="11">
        <f t="shared" si="0"/>
        <v>0.6</v>
      </c>
      <c r="O31" s="11">
        <f t="shared" si="1"/>
        <v>1.3733333333333333</v>
      </c>
      <c r="P31" s="11">
        <f t="shared" si="2"/>
        <v>-0.55666666666666664</v>
      </c>
      <c r="Q31" s="11">
        <f t="shared" si="3"/>
        <v>0.73666666666666669</v>
      </c>
    </row>
    <row r="32" spans="1:17" x14ac:dyDescent="0.25">
      <c r="A32">
        <v>1931</v>
      </c>
      <c r="B32">
        <v>1.52</v>
      </c>
      <c r="C32">
        <v>-0.08</v>
      </c>
      <c r="D32">
        <v>-0.62</v>
      </c>
      <c r="E32">
        <v>-0.56999999999999995</v>
      </c>
      <c r="F32">
        <v>-1.1499999999999999</v>
      </c>
      <c r="G32">
        <v>-1.5</v>
      </c>
      <c r="H32">
        <v>-1.85</v>
      </c>
      <c r="I32">
        <v>-1.78</v>
      </c>
      <c r="J32">
        <v>-2.0699999999999998</v>
      </c>
      <c r="K32">
        <v>-1.69</v>
      </c>
      <c r="L32">
        <v>-1.66</v>
      </c>
      <c r="M32">
        <v>-1.9</v>
      </c>
      <c r="N32" s="11">
        <f>IF(AND(ISNUMBER(D32),ISNUMBER(E32),ISNUMBER(F32)),AVERAGE(D32:F32),"")</f>
        <v>-0.77999999999999992</v>
      </c>
      <c r="O32" s="11">
        <f>IF(AND(ISNUMBER(G32),ISNUMBER(H32),ISNUMBER(I32)),AVERAGE(G32:I32),"")</f>
        <v>-1.71</v>
      </c>
      <c r="P32" s="11">
        <f>IF(AND(ISNUMBER(J32),ISNUMBER(K32),ISNUMBER(L32)),AVERAGE(J32:L32),"")</f>
        <v>-1.8066666666666666</v>
      </c>
      <c r="Q32" s="11">
        <f>IF(AND(ISNUMBER(M32),ISNUMBER(B33),ISNUMBER(C33)),AVERAGE(M32,B33:C33),"")</f>
        <v>-2.0766666666666667</v>
      </c>
    </row>
    <row r="33" spans="1:17" x14ac:dyDescent="0.25">
      <c r="A33">
        <v>1932</v>
      </c>
      <c r="B33">
        <v>-2.17</v>
      </c>
      <c r="C33">
        <v>-2.16</v>
      </c>
      <c r="D33">
        <v>0.28999999999999998</v>
      </c>
      <c r="E33">
        <v>1.72</v>
      </c>
      <c r="F33">
        <v>1.01</v>
      </c>
      <c r="G33">
        <v>2.16</v>
      </c>
      <c r="H33">
        <v>3.4</v>
      </c>
      <c r="I33">
        <v>3.71</v>
      </c>
      <c r="J33">
        <v>3.16</v>
      </c>
      <c r="K33">
        <v>3.73</v>
      </c>
      <c r="L33">
        <v>2.92</v>
      </c>
      <c r="M33">
        <v>2.19</v>
      </c>
      <c r="N33" s="11">
        <f t="shared" ref="N33:N96" si="4">IF(AND(ISNUMBER(D33),ISNUMBER(E33),ISNUMBER(F33)),AVERAGE(D33:F33),"")</f>
        <v>1.0066666666666666</v>
      </c>
      <c r="O33" s="11">
        <f t="shared" ref="O33:O96" si="5">IF(AND(ISNUMBER(G33),ISNUMBER(H33),ISNUMBER(I33)),AVERAGE(G33:I33),"")</f>
        <v>3.09</v>
      </c>
      <c r="P33" s="11">
        <f t="shared" ref="P33:P96" si="6">IF(AND(ISNUMBER(J33),ISNUMBER(K33),ISNUMBER(L33)),AVERAGE(J33:L33),"")</f>
        <v>3.27</v>
      </c>
      <c r="Q33" s="11">
        <f t="shared" ref="Q33:Q96" si="7">IF(AND(ISNUMBER(M33),ISNUMBER(B34),ISNUMBER(C34)),AVERAGE(M33,B34:C34),"")</f>
        <v>2.6799999999999997</v>
      </c>
    </row>
    <row r="34" spans="1:17" x14ac:dyDescent="0.25">
      <c r="A34">
        <v>1933</v>
      </c>
      <c r="B34">
        <v>3.22</v>
      </c>
      <c r="C34">
        <v>2.63</v>
      </c>
      <c r="D34">
        <v>3.21</v>
      </c>
      <c r="E34">
        <v>-0.19</v>
      </c>
      <c r="F34">
        <v>-0.51000009999999996</v>
      </c>
      <c r="G34">
        <v>-0.28000000000000003</v>
      </c>
      <c r="H34">
        <v>-0.76999989999999996</v>
      </c>
      <c r="I34">
        <v>-0.52</v>
      </c>
      <c r="J34">
        <v>-1.3</v>
      </c>
      <c r="K34">
        <v>-1.38</v>
      </c>
      <c r="L34">
        <v>-1.41</v>
      </c>
      <c r="M34">
        <v>0.19</v>
      </c>
      <c r="N34" s="11">
        <f t="shared" si="4"/>
        <v>0.83666663333333335</v>
      </c>
      <c r="O34" s="11">
        <f t="shared" si="5"/>
        <v>-0.5233333</v>
      </c>
      <c r="P34" s="11">
        <f t="shared" si="6"/>
        <v>-1.3633333333333333</v>
      </c>
      <c r="Q34" s="11">
        <f t="shared" si="7"/>
        <v>-9.0000000000000011E-2</v>
      </c>
    </row>
    <row r="35" spans="1:17" x14ac:dyDescent="0.25">
      <c r="A35">
        <v>1934</v>
      </c>
      <c r="B35">
        <v>-0.24</v>
      </c>
      <c r="C35">
        <v>-0.22</v>
      </c>
      <c r="D35">
        <v>0.44</v>
      </c>
      <c r="E35">
        <v>0.15</v>
      </c>
      <c r="F35">
        <v>0.14000000000000001</v>
      </c>
      <c r="G35">
        <v>0.25</v>
      </c>
      <c r="H35">
        <v>0.31</v>
      </c>
      <c r="I35">
        <v>-0.69999990000000001</v>
      </c>
      <c r="J35">
        <v>0.45</v>
      </c>
      <c r="K35">
        <v>0.57999999999999996</v>
      </c>
      <c r="L35">
        <v>-0.42</v>
      </c>
      <c r="M35">
        <v>-0.82</v>
      </c>
      <c r="N35" s="11">
        <f t="shared" si="4"/>
        <v>0.24333333333333332</v>
      </c>
      <c r="O35" s="11">
        <f t="shared" si="5"/>
        <v>-4.6666633333333318E-2</v>
      </c>
      <c r="P35" s="11">
        <f t="shared" si="6"/>
        <v>0.20333333333333337</v>
      </c>
      <c r="Q35" s="11">
        <f t="shared" si="7"/>
        <v>-0.85333336666666659</v>
      </c>
    </row>
    <row r="36" spans="1:17" x14ac:dyDescent="0.25">
      <c r="A36">
        <v>1935</v>
      </c>
      <c r="B36">
        <v>-0.88000009999999995</v>
      </c>
      <c r="C36">
        <v>-0.86</v>
      </c>
      <c r="D36">
        <v>0.67</v>
      </c>
      <c r="E36">
        <v>0.26</v>
      </c>
      <c r="F36">
        <v>0.22</v>
      </c>
      <c r="G36">
        <v>0.69999990000000001</v>
      </c>
      <c r="H36">
        <v>-0.77999989999999997</v>
      </c>
      <c r="I36">
        <v>-1.51</v>
      </c>
      <c r="J36">
        <v>0.08</v>
      </c>
      <c r="K36">
        <v>0.54</v>
      </c>
      <c r="L36">
        <v>0.98000010000000004</v>
      </c>
      <c r="M36">
        <v>1.21</v>
      </c>
      <c r="N36" s="11">
        <f t="shared" si="4"/>
        <v>0.38333333333333336</v>
      </c>
      <c r="O36" s="11">
        <f t="shared" si="5"/>
        <v>-0.52999999999999992</v>
      </c>
      <c r="P36" s="11">
        <f t="shared" si="6"/>
        <v>0.53333336666666664</v>
      </c>
      <c r="Q36" s="11">
        <f t="shared" si="7"/>
        <v>0.84333333333333327</v>
      </c>
    </row>
    <row r="37" spans="1:17" x14ac:dyDescent="0.25">
      <c r="A37">
        <v>1936</v>
      </c>
      <c r="B37">
        <v>1.55</v>
      </c>
      <c r="C37">
        <v>-0.23</v>
      </c>
      <c r="D37">
        <v>-0.47</v>
      </c>
      <c r="E37">
        <v>-0.48</v>
      </c>
      <c r="F37">
        <v>-0.38</v>
      </c>
      <c r="G37">
        <v>-0.6</v>
      </c>
      <c r="H37">
        <v>-0.67999989999999999</v>
      </c>
      <c r="I37">
        <v>-1.1399999999999999</v>
      </c>
      <c r="J37">
        <v>-1.17</v>
      </c>
      <c r="K37">
        <v>-1.32</v>
      </c>
      <c r="L37">
        <v>-1.54</v>
      </c>
      <c r="M37">
        <v>0.47</v>
      </c>
      <c r="N37" s="11">
        <f t="shared" si="4"/>
        <v>-0.44333333333333336</v>
      </c>
      <c r="O37" s="11">
        <f t="shared" si="5"/>
        <v>-0.80666663333333322</v>
      </c>
      <c r="P37" s="11">
        <f t="shared" si="6"/>
        <v>-1.3433333333333335</v>
      </c>
      <c r="Q37" s="11">
        <f t="shared" si="7"/>
        <v>1.0233333333333334</v>
      </c>
    </row>
    <row r="38" spans="1:17" x14ac:dyDescent="0.25">
      <c r="A38">
        <v>1937</v>
      </c>
      <c r="B38">
        <v>0.82</v>
      </c>
      <c r="C38">
        <v>1.78</v>
      </c>
      <c r="D38">
        <v>0.02</v>
      </c>
      <c r="E38">
        <v>-0.64</v>
      </c>
      <c r="F38">
        <v>-0.88000009999999995</v>
      </c>
      <c r="G38">
        <v>1.1200000000000001</v>
      </c>
      <c r="H38">
        <v>1.0900000000000001</v>
      </c>
      <c r="I38">
        <v>1.8</v>
      </c>
      <c r="J38">
        <v>-0.91</v>
      </c>
      <c r="K38">
        <v>-1.52</v>
      </c>
      <c r="L38">
        <v>-1.61</v>
      </c>
      <c r="M38">
        <v>-1.92</v>
      </c>
      <c r="N38" s="11">
        <f t="shared" si="4"/>
        <v>-0.50000003333333332</v>
      </c>
      <c r="O38" s="11">
        <f t="shared" si="5"/>
        <v>1.3366666666666667</v>
      </c>
      <c r="P38" s="11">
        <f t="shared" si="6"/>
        <v>-1.3466666666666667</v>
      </c>
      <c r="Q38" s="11">
        <f t="shared" si="7"/>
        <v>-2.17</v>
      </c>
    </row>
    <row r="39" spans="1:17" x14ac:dyDescent="0.25">
      <c r="A39">
        <v>1938</v>
      </c>
      <c r="B39">
        <v>-2.0699999999999998</v>
      </c>
      <c r="C39">
        <v>-2.52</v>
      </c>
      <c r="D39">
        <v>-1.54</v>
      </c>
      <c r="E39">
        <v>-2.02</v>
      </c>
      <c r="F39">
        <v>-2.2599999999999998</v>
      </c>
      <c r="G39">
        <v>0.22</v>
      </c>
      <c r="H39">
        <v>0.24</v>
      </c>
      <c r="I39">
        <v>-0.33</v>
      </c>
      <c r="J39">
        <v>0.27</v>
      </c>
      <c r="K39">
        <v>0.75999989999999995</v>
      </c>
      <c r="L39">
        <v>1.17</v>
      </c>
      <c r="M39">
        <v>0.93</v>
      </c>
      <c r="N39" s="11">
        <f t="shared" si="4"/>
        <v>-1.9400000000000002</v>
      </c>
      <c r="O39" s="11">
        <f t="shared" si="5"/>
        <v>4.3333333333333314E-2</v>
      </c>
      <c r="P39" s="11">
        <f t="shared" si="6"/>
        <v>0.73333329999999997</v>
      </c>
      <c r="Q39" s="11">
        <f t="shared" si="7"/>
        <v>1.656666666666667</v>
      </c>
    </row>
    <row r="40" spans="1:17" x14ac:dyDescent="0.25">
      <c r="A40">
        <v>1939</v>
      </c>
      <c r="B40">
        <v>1.52</v>
      </c>
      <c r="C40">
        <v>2.52</v>
      </c>
      <c r="D40">
        <v>1.47</v>
      </c>
      <c r="E40">
        <v>0.56999999999999995</v>
      </c>
      <c r="F40">
        <v>1.64</v>
      </c>
      <c r="G40">
        <v>2.73</v>
      </c>
      <c r="H40">
        <v>2.35</v>
      </c>
      <c r="I40">
        <v>2.8</v>
      </c>
      <c r="J40">
        <v>2.83</v>
      </c>
      <c r="K40">
        <v>3.36</v>
      </c>
      <c r="L40">
        <v>2.73</v>
      </c>
      <c r="M40">
        <v>2.15</v>
      </c>
      <c r="N40" s="11">
        <f t="shared" si="4"/>
        <v>1.2266666666666666</v>
      </c>
      <c r="O40" s="11">
        <f t="shared" si="5"/>
        <v>2.6266666666666665</v>
      </c>
      <c r="P40" s="11">
        <f t="shared" si="6"/>
        <v>2.9733333333333332</v>
      </c>
      <c r="Q40" s="11">
        <f t="shared" si="7"/>
        <v>2.27</v>
      </c>
    </row>
    <row r="41" spans="1:17" x14ac:dyDescent="0.25">
      <c r="A41">
        <v>1940</v>
      </c>
      <c r="B41">
        <v>2.1</v>
      </c>
      <c r="C41">
        <v>2.56</v>
      </c>
      <c r="D41">
        <v>1.77</v>
      </c>
      <c r="E41">
        <v>3.07</v>
      </c>
      <c r="F41">
        <v>4.8600000000000003</v>
      </c>
      <c r="G41">
        <v>6.04</v>
      </c>
      <c r="H41">
        <v>6.130001</v>
      </c>
      <c r="I41">
        <v>4.0199999999999996</v>
      </c>
      <c r="J41">
        <v>3.11</v>
      </c>
      <c r="K41">
        <v>2.59</v>
      </c>
      <c r="L41">
        <v>2.4500000000000002</v>
      </c>
      <c r="M41">
        <v>4.1900000000000004</v>
      </c>
      <c r="N41" s="11">
        <f t="shared" si="4"/>
        <v>3.2333333333333329</v>
      </c>
      <c r="O41" s="11">
        <f t="shared" si="5"/>
        <v>5.3966669999999999</v>
      </c>
      <c r="P41" s="11">
        <f t="shared" si="6"/>
        <v>2.7166666666666663</v>
      </c>
      <c r="Q41" s="11">
        <f t="shared" si="7"/>
        <v>4.2099996666666666</v>
      </c>
    </row>
    <row r="42" spans="1:17" x14ac:dyDescent="0.25">
      <c r="A42">
        <v>1941</v>
      </c>
      <c r="B42">
        <v>4.4699989999999996</v>
      </c>
      <c r="C42">
        <v>3.97</v>
      </c>
      <c r="D42">
        <v>4.0199999999999996</v>
      </c>
      <c r="E42">
        <v>3.36</v>
      </c>
      <c r="F42">
        <v>2.54</v>
      </c>
      <c r="G42">
        <v>1.77</v>
      </c>
      <c r="H42">
        <v>2.12</v>
      </c>
      <c r="I42">
        <v>2.48</v>
      </c>
      <c r="J42">
        <v>1.49</v>
      </c>
      <c r="K42">
        <v>0.91</v>
      </c>
      <c r="L42">
        <v>1.77</v>
      </c>
      <c r="M42">
        <v>2.4500000000000002</v>
      </c>
      <c r="N42" s="11">
        <f t="shared" si="4"/>
        <v>3.3066666666666662</v>
      </c>
      <c r="O42" s="11">
        <f t="shared" si="5"/>
        <v>2.1233333333333335</v>
      </c>
      <c r="P42" s="11">
        <f t="shared" si="6"/>
        <v>1.39</v>
      </c>
      <c r="Q42" s="11">
        <f t="shared" si="7"/>
        <v>2.25</v>
      </c>
    </row>
    <row r="43" spans="1:17" x14ac:dyDescent="0.25">
      <c r="A43">
        <v>1942</v>
      </c>
      <c r="B43">
        <v>2.19</v>
      </c>
      <c r="C43">
        <v>2.11</v>
      </c>
      <c r="D43">
        <v>2.2799999999999998</v>
      </c>
      <c r="E43">
        <v>-0.14000000000000001</v>
      </c>
      <c r="F43">
        <v>-0.39</v>
      </c>
      <c r="G43">
        <v>-1.41</v>
      </c>
      <c r="H43">
        <v>-1.49</v>
      </c>
      <c r="I43">
        <v>0.11</v>
      </c>
      <c r="J43">
        <v>0.3</v>
      </c>
      <c r="K43">
        <v>0.41</v>
      </c>
      <c r="L43">
        <v>-0.08</v>
      </c>
      <c r="M43">
        <v>-0.17</v>
      </c>
      <c r="N43" s="11">
        <f t="shared" si="4"/>
        <v>0.58333333333333315</v>
      </c>
      <c r="O43" s="11">
        <f t="shared" si="5"/>
        <v>-0.93</v>
      </c>
      <c r="P43" s="11">
        <f t="shared" si="6"/>
        <v>0.21</v>
      </c>
      <c r="Q43" s="11">
        <f t="shared" si="7"/>
        <v>-0.58333333333333337</v>
      </c>
    </row>
    <row r="44" spans="1:17" x14ac:dyDescent="0.25">
      <c r="A44">
        <v>1943</v>
      </c>
      <c r="B44">
        <v>-0.69</v>
      </c>
      <c r="C44">
        <v>-0.89</v>
      </c>
      <c r="D44">
        <v>-0.06</v>
      </c>
      <c r="E44">
        <v>-0.66000009999999998</v>
      </c>
      <c r="F44">
        <v>-0.69</v>
      </c>
      <c r="G44">
        <v>-1.25</v>
      </c>
      <c r="H44">
        <v>0.49</v>
      </c>
      <c r="I44">
        <v>-1.07</v>
      </c>
      <c r="J44">
        <v>0.27</v>
      </c>
      <c r="K44">
        <v>-0.33</v>
      </c>
      <c r="L44">
        <v>-0.77</v>
      </c>
      <c r="M44">
        <v>-1.65</v>
      </c>
      <c r="N44" s="11">
        <f t="shared" si="4"/>
        <v>-0.47000003333333334</v>
      </c>
      <c r="O44" s="11">
        <f t="shared" si="5"/>
        <v>-0.61</v>
      </c>
      <c r="P44" s="11">
        <f t="shared" si="6"/>
        <v>-0.27666666666666667</v>
      </c>
      <c r="Q44" s="11">
        <f t="shared" si="7"/>
        <v>-1.7066666666666668</v>
      </c>
    </row>
    <row r="45" spans="1:17" x14ac:dyDescent="0.25">
      <c r="A45">
        <v>1944</v>
      </c>
      <c r="B45">
        <v>-1.56</v>
      </c>
      <c r="C45">
        <v>-1.91</v>
      </c>
      <c r="D45">
        <v>-2.19</v>
      </c>
      <c r="E45">
        <v>-1.96</v>
      </c>
      <c r="F45">
        <v>-2.2599999999999998</v>
      </c>
      <c r="G45">
        <v>1.19</v>
      </c>
      <c r="H45">
        <v>1.7</v>
      </c>
      <c r="I45">
        <v>4.03</v>
      </c>
      <c r="J45">
        <v>3.3</v>
      </c>
      <c r="K45">
        <v>4.1900000000000004</v>
      </c>
      <c r="L45">
        <v>3.3</v>
      </c>
      <c r="M45">
        <v>2.23</v>
      </c>
      <c r="N45" s="11">
        <f t="shared" si="4"/>
        <v>-2.1366666666666667</v>
      </c>
      <c r="O45" s="11">
        <f t="shared" si="5"/>
        <v>2.3066666666666666</v>
      </c>
      <c r="P45" s="11">
        <f t="shared" si="6"/>
        <v>3.5966666666666662</v>
      </c>
      <c r="Q45" s="11">
        <f t="shared" si="7"/>
        <v>2.6999999999999997</v>
      </c>
    </row>
    <row r="46" spans="1:17" x14ac:dyDescent="0.25">
      <c r="A46">
        <v>1945</v>
      </c>
      <c r="B46">
        <v>3.04</v>
      </c>
      <c r="C46">
        <v>2.83</v>
      </c>
      <c r="D46">
        <v>3.69</v>
      </c>
      <c r="E46">
        <v>3.02</v>
      </c>
      <c r="F46">
        <v>4.9000000000000004</v>
      </c>
      <c r="G46">
        <v>5.0599999999999996</v>
      </c>
      <c r="H46">
        <v>5.51</v>
      </c>
      <c r="I46">
        <v>5.8200010000000004</v>
      </c>
      <c r="J46">
        <v>4.619999</v>
      </c>
      <c r="K46">
        <v>3.47</v>
      </c>
      <c r="L46">
        <v>4.1100000000000003</v>
      </c>
      <c r="M46">
        <v>4.17</v>
      </c>
      <c r="N46" s="11">
        <f t="shared" si="4"/>
        <v>3.8699999999999997</v>
      </c>
      <c r="O46" s="11">
        <f t="shared" si="5"/>
        <v>5.4633336666666672</v>
      </c>
      <c r="P46" s="11">
        <f t="shared" si="6"/>
        <v>4.0666663333333339</v>
      </c>
      <c r="Q46" s="11">
        <f t="shared" si="7"/>
        <v>4.5933333333333328</v>
      </c>
    </row>
    <row r="47" spans="1:17" x14ac:dyDescent="0.25">
      <c r="A47">
        <v>1946</v>
      </c>
      <c r="B47">
        <v>4.84</v>
      </c>
      <c r="C47">
        <v>4.7699999999999996</v>
      </c>
      <c r="D47">
        <v>3.49</v>
      </c>
      <c r="E47">
        <v>2.82</v>
      </c>
      <c r="F47">
        <v>2.1800000000000002</v>
      </c>
      <c r="G47">
        <v>1.1000000000000001</v>
      </c>
      <c r="H47">
        <v>1.8</v>
      </c>
      <c r="I47">
        <v>0.67</v>
      </c>
      <c r="J47">
        <v>2.41</v>
      </c>
      <c r="K47">
        <v>2.4500000000000002</v>
      </c>
      <c r="L47">
        <v>3.48</v>
      </c>
      <c r="M47">
        <v>3.3</v>
      </c>
      <c r="N47" s="11">
        <f t="shared" si="4"/>
        <v>2.83</v>
      </c>
      <c r="O47" s="11">
        <f t="shared" si="5"/>
        <v>1.1900000000000002</v>
      </c>
      <c r="P47" s="11">
        <f t="shared" si="6"/>
        <v>2.78</v>
      </c>
      <c r="Q47" s="11">
        <f t="shared" si="7"/>
        <v>3.53</v>
      </c>
    </row>
    <row r="48" spans="1:17" x14ac:dyDescent="0.25">
      <c r="A48">
        <v>1947</v>
      </c>
      <c r="B48">
        <v>3.86</v>
      </c>
      <c r="C48">
        <v>3.43</v>
      </c>
      <c r="D48">
        <v>-0.46</v>
      </c>
      <c r="E48">
        <v>-1.17</v>
      </c>
      <c r="F48">
        <v>-0.9</v>
      </c>
      <c r="G48">
        <v>-0.54000009999999998</v>
      </c>
      <c r="H48">
        <v>-1.47</v>
      </c>
      <c r="I48">
        <v>-1.24</v>
      </c>
      <c r="J48">
        <v>-1.05</v>
      </c>
      <c r="K48">
        <v>-1.47</v>
      </c>
      <c r="L48">
        <v>-1.83</v>
      </c>
      <c r="M48">
        <v>-1.81</v>
      </c>
      <c r="N48" s="11">
        <f t="shared" si="4"/>
        <v>-0.84333333333333327</v>
      </c>
      <c r="O48" s="11">
        <f t="shared" si="5"/>
        <v>-1.0833333666666667</v>
      </c>
      <c r="P48" s="11">
        <f t="shared" si="6"/>
        <v>-1.45</v>
      </c>
      <c r="Q48" s="11">
        <f t="shared" si="7"/>
        <v>-1.7233333333333334</v>
      </c>
    </row>
    <row r="49" spans="1:17" x14ac:dyDescent="0.25">
      <c r="A49">
        <v>1948</v>
      </c>
      <c r="B49">
        <v>-1.55</v>
      </c>
      <c r="C49">
        <v>-1.81</v>
      </c>
      <c r="D49">
        <v>-2.0699999999999998</v>
      </c>
      <c r="E49">
        <v>-2.04</v>
      </c>
      <c r="F49">
        <v>-2.56</v>
      </c>
      <c r="G49">
        <v>-2.69</v>
      </c>
      <c r="H49">
        <v>0.82</v>
      </c>
      <c r="I49">
        <v>0.35</v>
      </c>
      <c r="J49">
        <v>0.88999989999999995</v>
      </c>
      <c r="K49">
        <v>0.61000010000000005</v>
      </c>
      <c r="L49">
        <v>0.3</v>
      </c>
      <c r="M49">
        <v>0.31</v>
      </c>
      <c r="N49" s="11">
        <f t="shared" si="4"/>
        <v>-2.2233333333333332</v>
      </c>
      <c r="O49" s="11">
        <f t="shared" si="5"/>
        <v>-0.50666666666666671</v>
      </c>
      <c r="P49" s="11">
        <f t="shared" si="6"/>
        <v>0.6</v>
      </c>
      <c r="Q49" s="11">
        <f t="shared" si="7"/>
        <v>0.9800000333333333</v>
      </c>
    </row>
    <row r="50" spans="1:17" x14ac:dyDescent="0.25">
      <c r="A50">
        <v>1949</v>
      </c>
      <c r="B50">
        <v>0.66000009999999998</v>
      </c>
      <c r="C50">
        <v>1.97</v>
      </c>
      <c r="D50">
        <v>3.11</v>
      </c>
      <c r="E50">
        <v>2.25</v>
      </c>
      <c r="F50">
        <v>5.1100000000000003</v>
      </c>
      <c r="G50">
        <v>6.6799989999999996</v>
      </c>
      <c r="H50">
        <v>-0.71</v>
      </c>
      <c r="I50">
        <v>-1.54</v>
      </c>
      <c r="J50">
        <v>-2.13</v>
      </c>
      <c r="K50">
        <v>-2.37</v>
      </c>
      <c r="L50">
        <v>-2.73</v>
      </c>
      <c r="M50">
        <v>-2.4300000000000002</v>
      </c>
      <c r="N50" s="11">
        <f t="shared" si="4"/>
        <v>3.4899999999999998</v>
      </c>
      <c r="O50" s="11">
        <f t="shared" si="5"/>
        <v>1.4766663333333332</v>
      </c>
      <c r="P50" s="11">
        <f t="shared" si="6"/>
        <v>-2.41</v>
      </c>
      <c r="Q50" s="11">
        <f t="shared" si="7"/>
        <v>-2.7533333333333334</v>
      </c>
    </row>
    <row r="51" spans="1:17" x14ac:dyDescent="0.25">
      <c r="A51">
        <v>1950</v>
      </c>
      <c r="B51">
        <v>-2.86</v>
      </c>
      <c r="C51">
        <v>-2.97</v>
      </c>
      <c r="D51">
        <v>-2.79</v>
      </c>
      <c r="E51">
        <v>-2.7</v>
      </c>
      <c r="F51">
        <v>0.28999999999999998</v>
      </c>
      <c r="G51">
        <v>1.46</v>
      </c>
      <c r="H51">
        <v>1.73</v>
      </c>
      <c r="I51">
        <v>3.13</v>
      </c>
      <c r="J51">
        <v>3.57</v>
      </c>
      <c r="K51">
        <v>2.92</v>
      </c>
      <c r="L51">
        <v>2.69</v>
      </c>
      <c r="M51">
        <v>2.37</v>
      </c>
      <c r="N51" s="11">
        <f t="shared" si="4"/>
        <v>-1.7333333333333334</v>
      </c>
      <c r="O51" s="11">
        <f t="shared" si="5"/>
        <v>2.1066666666666669</v>
      </c>
      <c r="P51" s="11">
        <f t="shared" si="6"/>
        <v>3.06</v>
      </c>
      <c r="Q51" s="11">
        <f t="shared" si="7"/>
        <v>2.9233333333333333</v>
      </c>
    </row>
    <row r="52" spans="1:17" x14ac:dyDescent="0.25">
      <c r="A52">
        <v>1951</v>
      </c>
      <c r="B52">
        <v>3.36</v>
      </c>
      <c r="C52">
        <v>3.04</v>
      </c>
      <c r="D52">
        <v>1.94</v>
      </c>
      <c r="E52">
        <v>0.69999990000000001</v>
      </c>
      <c r="F52">
        <v>3.28</v>
      </c>
      <c r="G52">
        <v>3.45</v>
      </c>
      <c r="H52">
        <v>3.83</v>
      </c>
      <c r="I52">
        <v>3.07</v>
      </c>
      <c r="J52">
        <v>3.76</v>
      </c>
      <c r="K52">
        <v>-0.28999999999999998</v>
      </c>
      <c r="L52">
        <v>-0.38</v>
      </c>
      <c r="M52">
        <v>-0.55000000000000004</v>
      </c>
      <c r="N52" s="11">
        <f t="shared" si="4"/>
        <v>1.9733333</v>
      </c>
      <c r="O52" s="11">
        <f t="shared" si="5"/>
        <v>3.4499999999999997</v>
      </c>
      <c r="P52" s="11">
        <f t="shared" si="6"/>
        <v>1.03</v>
      </c>
      <c r="Q52" s="11">
        <f t="shared" si="7"/>
        <v>-1.01</v>
      </c>
    </row>
    <row r="53" spans="1:17" x14ac:dyDescent="0.25">
      <c r="A53">
        <v>1952</v>
      </c>
      <c r="B53">
        <v>-1.02</v>
      </c>
      <c r="C53">
        <v>-1.46</v>
      </c>
      <c r="D53">
        <v>1.08</v>
      </c>
      <c r="E53">
        <v>-0.83</v>
      </c>
      <c r="F53">
        <v>-0.18</v>
      </c>
      <c r="G53">
        <v>-0.83999990000000002</v>
      </c>
      <c r="H53">
        <v>-1.42</v>
      </c>
      <c r="I53">
        <v>-1.65</v>
      </c>
      <c r="J53">
        <v>-1.8</v>
      </c>
      <c r="K53">
        <v>-1.83</v>
      </c>
      <c r="L53">
        <v>-1.94</v>
      </c>
      <c r="M53">
        <v>-2.4</v>
      </c>
      <c r="N53" s="11">
        <f t="shared" si="4"/>
        <v>2.3333333333333373E-2</v>
      </c>
      <c r="O53" s="11">
        <f t="shared" si="5"/>
        <v>-1.3033333</v>
      </c>
      <c r="P53" s="11">
        <f t="shared" si="6"/>
        <v>-1.8566666666666667</v>
      </c>
      <c r="Q53" s="11">
        <f t="shared" si="7"/>
        <v>-0.58666666666666656</v>
      </c>
    </row>
    <row r="54" spans="1:17" x14ac:dyDescent="0.25">
      <c r="A54">
        <v>1953</v>
      </c>
      <c r="B54">
        <v>1.1100000000000001</v>
      </c>
      <c r="C54">
        <v>-0.47</v>
      </c>
      <c r="D54">
        <v>-0.58999990000000002</v>
      </c>
      <c r="E54">
        <v>-1.46</v>
      </c>
      <c r="F54">
        <v>0.75000009999999995</v>
      </c>
      <c r="G54">
        <v>0.44</v>
      </c>
      <c r="H54">
        <v>1.0900000000000001</v>
      </c>
      <c r="I54">
        <v>2.77</v>
      </c>
      <c r="J54">
        <v>3.85</v>
      </c>
      <c r="K54">
        <v>-0.16</v>
      </c>
      <c r="L54">
        <v>-0.48</v>
      </c>
      <c r="M54">
        <v>-0.11</v>
      </c>
      <c r="N54" s="11">
        <f t="shared" si="4"/>
        <v>-0.43333326666666672</v>
      </c>
      <c r="O54" s="11">
        <f t="shared" si="5"/>
        <v>1.4333333333333333</v>
      </c>
      <c r="P54" s="11">
        <f t="shared" si="6"/>
        <v>1.07</v>
      </c>
      <c r="Q54" s="11">
        <f t="shared" si="7"/>
        <v>-0.53666666666666663</v>
      </c>
    </row>
    <row r="55" spans="1:17" x14ac:dyDescent="0.25">
      <c r="A55">
        <v>1954</v>
      </c>
      <c r="B55">
        <v>-0.63</v>
      </c>
      <c r="C55">
        <v>-0.87</v>
      </c>
      <c r="D55">
        <v>-1.74</v>
      </c>
      <c r="E55">
        <v>0.06</v>
      </c>
      <c r="F55">
        <v>-0.16</v>
      </c>
      <c r="G55">
        <v>9.9999900000000003E-3</v>
      </c>
      <c r="H55">
        <v>0.69999990000000001</v>
      </c>
      <c r="I55">
        <v>2.06</v>
      </c>
      <c r="J55">
        <v>3.04</v>
      </c>
      <c r="K55">
        <v>-0.08</v>
      </c>
      <c r="L55">
        <v>-0.38</v>
      </c>
      <c r="M55">
        <v>-0.3</v>
      </c>
      <c r="N55" s="11">
        <f t="shared" si="4"/>
        <v>-0.61333333333333329</v>
      </c>
      <c r="O55" s="11">
        <f t="shared" si="5"/>
        <v>0.92333329666666675</v>
      </c>
      <c r="P55" s="11">
        <f t="shared" si="6"/>
        <v>0.86</v>
      </c>
      <c r="Q55" s="11">
        <f t="shared" si="7"/>
        <v>-0.26</v>
      </c>
    </row>
    <row r="56" spans="1:17" x14ac:dyDescent="0.25">
      <c r="A56">
        <v>1955</v>
      </c>
      <c r="B56">
        <v>-0.3</v>
      </c>
      <c r="C56">
        <v>-0.18</v>
      </c>
      <c r="D56">
        <v>-0.69000010000000001</v>
      </c>
      <c r="E56">
        <v>0.56999999999999995</v>
      </c>
      <c r="F56">
        <v>0.03</v>
      </c>
      <c r="G56">
        <v>0.52</v>
      </c>
      <c r="H56">
        <v>0.68</v>
      </c>
      <c r="I56">
        <v>-0.32</v>
      </c>
      <c r="J56">
        <v>-0.25</v>
      </c>
      <c r="K56">
        <v>-1.01</v>
      </c>
      <c r="L56">
        <v>-1.34</v>
      </c>
      <c r="M56">
        <v>1.1499999999999999</v>
      </c>
      <c r="N56" s="11">
        <f t="shared" si="4"/>
        <v>-3.0000033333333353E-2</v>
      </c>
      <c r="O56" s="11">
        <f t="shared" si="5"/>
        <v>0.29333333333333339</v>
      </c>
      <c r="P56" s="11">
        <f t="shared" si="6"/>
        <v>-0.8666666666666667</v>
      </c>
      <c r="Q56" s="11">
        <f t="shared" si="7"/>
        <v>1.4533333333333331</v>
      </c>
    </row>
    <row r="57" spans="1:17" x14ac:dyDescent="0.25">
      <c r="A57">
        <v>1956</v>
      </c>
      <c r="B57">
        <v>1.74</v>
      </c>
      <c r="C57">
        <v>1.47</v>
      </c>
      <c r="D57">
        <v>1.26</v>
      </c>
      <c r="E57">
        <v>1.19</v>
      </c>
      <c r="F57">
        <v>-0.62000010000000005</v>
      </c>
      <c r="G57">
        <v>-1.74</v>
      </c>
      <c r="H57">
        <v>-2.16</v>
      </c>
      <c r="I57">
        <v>-2.65</v>
      </c>
      <c r="J57">
        <v>-2.68</v>
      </c>
      <c r="K57">
        <v>-2.86</v>
      </c>
      <c r="L57">
        <v>-2.89</v>
      </c>
      <c r="M57">
        <v>-3.44</v>
      </c>
      <c r="N57" s="11">
        <f t="shared" si="4"/>
        <v>0.60999996666666678</v>
      </c>
      <c r="O57" s="11">
        <f t="shared" si="5"/>
        <v>-2.1833333333333336</v>
      </c>
      <c r="P57" s="11">
        <f t="shared" si="6"/>
        <v>-2.81</v>
      </c>
      <c r="Q57" s="11">
        <f t="shared" si="7"/>
        <v>-3.64</v>
      </c>
    </row>
    <row r="58" spans="1:17" x14ac:dyDescent="0.25">
      <c r="A58">
        <v>1957</v>
      </c>
      <c r="B58">
        <v>-3.5</v>
      </c>
      <c r="C58">
        <v>-3.98</v>
      </c>
      <c r="D58">
        <v>-4.07</v>
      </c>
      <c r="E58">
        <v>-4.43</v>
      </c>
      <c r="F58">
        <v>-3.97</v>
      </c>
      <c r="G58">
        <v>-3.89</v>
      </c>
      <c r="H58">
        <v>0.97000010000000003</v>
      </c>
      <c r="I58">
        <v>2.74</v>
      </c>
      <c r="J58">
        <v>-0.53</v>
      </c>
      <c r="K58">
        <v>-0.63</v>
      </c>
      <c r="L58">
        <v>-0.11</v>
      </c>
      <c r="M58">
        <v>-0.31</v>
      </c>
      <c r="N58" s="11">
        <f t="shared" si="4"/>
        <v>-4.1566666666666672</v>
      </c>
      <c r="O58" s="11">
        <f t="shared" si="5"/>
        <v>-5.9999966666666626E-2</v>
      </c>
      <c r="P58" s="11">
        <f t="shared" si="6"/>
        <v>-0.42333333333333339</v>
      </c>
      <c r="Q58" s="11">
        <f t="shared" si="7"/>
        <v>-0.57666669999999998</v>
      </c>
    </row>
    <row r="59" spans="1:17" x14ac:dyDescent="0.25">
      <c r="A59">
        <v>1958</v>
      </c>
      <c r="B59">
        <v>-0.73</v>
      </c>
      <c r="C59">
        <v>-0.69000010000000001</v>
      </c>
      <c r="D59">
        <v>-1.29</v>
      </c>
      <c r="E59">
        <v>-7.0000000000000007E-2</v>
      </c>
      <c r="F59">
        <v>0.55999989999999999</v>
      </c>
      <c r="G59">
        <v>0.47</v>
      </c>
      <c r="H59">
        <v>2.56</v>
      </c>
      <c r="I59">
        <v>-3.9999989999999999E-2</v>
      </c>
      <c r="J59">
        <v>-0.28999999999999998</v>
      </c>
      <c r="K59">
        <v>-1.1599999999999999</v>
      </c>
      <c r="L59">
        <v>-0.9</v>
      </c>
      <c r="M59">
        <v>-0.9300001</v>
      </c>
      <c r="N59" s="11">
        <f t="shared" si="4"/>
        <v>-0.26666670000000003</v>
      </c>
      <c r="O59" s="11">
        <f t="shared" si="5"/>
        <v>0.99666667000000009</v>
      </c>
      <c r="P59" s="11">
        <f t="shared" si="6"/>
        <v>-0.78333333333333333</v>
      </c>
      <c r="Q59" s="11">
        <f t="shared" si="7"/>
        <v>-1.1666666999999999</v>
      </c>
    </row>
    <row r="60" spans="1:17" x14ac:dyDescent="0.25">
      <c r="A60">
        <v>1959</v>
      </c>
      <c r="B60">
        <v>-1.0900000000000001</v>
      </c>
      <c r="C60">
        <v>-1.48</v>
      </c>
      <c r="D60">
        <v>0.76</v>
      </c>
      <c r="E60">
        <v>1.98</v>
      </c>
      <c r="F60">
        <v>1.84</v>
      </c>
      <c r="G60">
        <v>0.69999990000000001</v>
      </c>
      <c r="H60">
        <v>0.6</v>
      </c>
      <c r="I60">
        <v>2.02</v>
      </c>
      <c r="J60">
        <v>3.05</v>
      </c>
      <c r="K60">
        <v>3.16</v>
      </c>
      <c r="L60">
        <v>2.33</v>
      </c>
      <c r="M60">
        <v>1.25</v>
      </c>
      <c r="N60" s="11">
        <f t="shared" si="4"/>
        <v>1.5266666666666666</v>
      </c>
      <c r="O60" s="11">
        <f t="shared" si="5"/>
        <v>1.1066666333333333</v>
      </c>
      <c r="P60" s="11">
        <f t="shared" si="6"/>
        <v>2.8466666666666662</v>
      </c>
      <c r="Q60" s="11">
        <f t="shared" si="7"/>
        <v>0.88666666666666671</v>
      </c>
    </row>
    <row r="61" spans="1:17" x14ac:dyDescent="0.25">
      <c r="A61">
        <v>1960</v>
      </c>
      <c r="B61">
        <v>0.89</v>
      </c>
      <c r="C61">
        <v>0.52</v>
      </c>
      <c r="D61">
        <v>0.75</v>
      </c>
      <c r="E61">
        <v>1.1499999999999999</v>
      </c>
      <c r="F61">
        <v>0.45</v>
      </c>
      <c r="G61">
        <v>1.44</v>
      </c>
      <c r="H61">
        <v>2.93</v>
      </c>
      <c r="I61">
        <v>1.89</v>
      </c>
      <c r="J61">
        <v>1.25</v>
      </c>
      <c r="K61">
        <v>1.53</v>
      </c>
      <c r="L61">
        <v>1.37</v>
      </c>
      <c r="M61">
        <v>1.0900000000000001</v>
      </c>
      <c r="N61" s="11">
        <f t="shared" si="4"/>
        <v>0.78333333333333333</v>
      </c>
      <c r="O61" s="11">
        <f t="shared" si="5"/>
        <v>2.0866666666666664</v>
      </c>
      <c r="P61" s="11">
        <f t="shared" si="6"/>
        <v>1.3833333333333335</v>
      </c>
      <c r="Q61" s="11">
        <f t="shared" si="7"/>
        <v>2.1566666666666667</v>
      </c>
    </row>
    <row r="62" spans="1:17" x14ac:dyDescent="0.25">
      <c r="A62">
        <v>1961</v>
      </c>
      <c r="B62">
        <v>2.83</v>
      </c>
      <c r="C62">
        <v>2.5499999999999998</v>
      </c>
      <c r="D62">
        <v>1.94</v>
      </c>
      <c r="E62">
        <v>1.29</v>
      </c>
      <c r="F62">
        <v>1.62</v>
      </c>
      <c r="G62">
        <v>1.71</v>
      </c>
      <c r="H62">
        <v>2.08</v>
      </c>
      <c r="I62">
        <v>1.54</v>
      </c>
      <c r="J62">
        <v>2.41</v>
      </c>
      <c r="K62">
        <v>-0.3</v>
      </c>
      <c r="L62">
        <v>-0.05</v>
      </c>
      <c r="M62">
        <v>-0.71</v>
      </c>
      <c r="N62" s="11">
        <f t="shared" si="4"/>
        <v>1.6166666666666665</v>
      </c>
      <c r="O62" s="11">
        <f t="shared" si="5"/>
        <v>1.7766666666666666</v>
      </c>
      <c r="P62" s="11">
        <f t="shared" si="6"/>
        <v>0.68666666666666687</v>
      </c>
      <c r="Q62" s="11">
        <f t="shared" si="7"/>
        <v>-1.1733333333333333</v>
      </c>
    </row>
    <row r="63" spans="1:17" x14ac:dyDescent="0.25">
      <c r="A63">
        <v>1962</v>
      </c>
      <c r="B63">
        <v>-1.24</v>
      </c>
      <c r="C63">
        <v>-1.57</v>
      </c>
      <c r="D63">
        <v>-1.97</v>
      </c>
      <c r="E63">
        <v>-1.86</v>
      </c>
      <c r="F63">
        <v>-2.37</v>
      </c>
      <c r="G63">
        <v>-2.7</v>
      </c>
      <c r="H63">
        <v>-3.03</v>
      </c>
      <c r="I63">
        <v>-1.85</v>
      </c>
      <c r="J63">
        <v>-1.51</v>
      </c>
      <c r="K63">
        <v>-1.94</v>
      </c>
      <c r="L63">
        <v>-1.85</v>
      </c>
      <c r="M63">
        <v>-2</v>
      </c>
      <c r="N63" s="11">
        <f t="shared" si="4"/>
        <v>-2.0666666666666669</v>
      </c>
      <c r="O63" s="11">
        <f t="shared" si="5"/>
        <v>-2.5266666666666668</v>
      </c>
      <c r="P63" s="11">
        <f t="shared" si="6"/>
        <v>-1.7666666666666668</v>
      </c>
      <c r="Q63" s="11">
        <f t="shared" si="7"/>
        <v>-2.1366666666666663</v>
      </c>
    </row>
    <row r="64" spans="1:17" x14ac:dyDescent="0.25">
      <c r="A64">
        <v>1963</v>
      </c>
      <c r="B64">
        <v>-2.0299999999999998</v>
      </c>
      <c r="C64">
        <v>-2.38</v>
      </c>
      <c r="D64">
        <v>-0.05</v>
      </c>
      <c r="E64">
        <v>1.3</v>
      </c>
      <c r="F64">
        <v>-0.53</v>
      </c>
      <c r="G64">
        <v>-0.61</v>
      </c>
      <c r="H64">
        <v>-1.08</v>
      </c>
      <c r="I64">
        <v>-1.31</v>
      </c>
      <c r="J64">
        <v>0.85</v>
      </c>
      <c r="K64">
        <v>1.32</v>
      </c>
      <c r="L64">
        <v>1.81</v>
      </c>
      <c r="M64">
        <v>1.72</v>
      </c>
      <c r="N64" s="11">
        <f t="shared" si="4"/>
        <v>0.24</v>
      </c>
      <c r="O64" s="11">
        <f t="shared" si="5"/>
        <v>-1</v>
      </c>
      <c r="P64" s="11">
        <f t="shared" si="6"/>
        <v>1.3266666666666667</v>
      </c>
      <c r="Q64" s="11">
        <f t="shared" si="7"/>
        <v>1.5533333333333335</v>
      </c>
    </row>
    <row r="65" spans="1:17" x14ac:dyDescent="0.25">
      <c r="A65">
        <v>1964</v>
      </c>
      <c r="B65">
        <v>1.2</v>
      </c>
      <c r="C65">
        <v>1.74</v>
      </c>
      <c r="D65">
        <v>1.1100000000000001</v>
      </c>
      <c r="E65">
        <v>1.65</v>
      </c>
      <c r="F65">
        <v>-0.24</v>
      </c>
      <c r="G65">
        <v>-0.89</v>
      </c>
      <c r="H65">
        <v>-1.66</v>
      </c>
      <c r="I65">
        <v>0.43</v>
      </c>
      <c r="J65">
        <v>0.89999989999999996</v>
      </c>
      <c r="K65">
        <v>0.6</v>
      </c>
      <c r="L65">
        <v>0.49</v>
      </c>
      <c r="M65">
        <v>0.91</v>
      </c>
      <c r="N65" s="11">
        <f t="shared" si="4"/>
        <v>0.83999999999999986</v>
      </c>
      <c r="O65" s="11">
        <f t="shared" si="5"/>
        <v>-0.70666666666666655</v>
      </c>
      <c r="P65" s="11">
        <f t="shared" si="6"/>
        <v>0.66333330000000001</v>
      </c>
      <c r="Q65" s="11">
        <f t="shared" si="7"/>
        <v>1.7466666666666668</v>
      </c>
    </row>
    <row r="66" spans="1:17" x14ac:dyDescent="0.25">
      <c r="A66">
        <v>1965</v>
      </c>
      <c r="B66">
        <v>1.17</v>
      </c>
      <c r="C66">
        <v>3.16</v>
      </c>
      <c r="D66">
        <v>2.42</v>
      </c>
      <c r="E66">
        <v>2.2599999999999998</v>
      </c>
      <c r="F66">
        <v>1.77</v>
      </c>
      <c r="G66">
        <v>3.16</v>
      </c>
      <c r="H66">
        <v>3.59</v>
      </c>
      <c r="I66">
        <v>3.46</v>
      </c>
      <c r="J66">
        <v>2.06</v>
      </c>
      <c r="K66">
        <v>2.91</v>
      </c>
      <c r="L66">
        <v>4.03</v>
      </c>
      <c r="M66">
        <v>3.98</v>
      </c>
      <c r="N66" s="11">
        <f t="shared" si="4"/>
        <v>2.15</v>
      </c>
      <c r="O66" s="11">
        <f t="shared" si="5"/>
        <v>3.4033333333333338</v>
      </c>
      <c r="P66" s="11">
        <f t="shared" si="6"/>
        <v>3</v>
      </c>
      <c r="Q66" s="11">
        <f t="shared" si="7"/>
        <v>3.2899999999999996</v>
      </c>
    </row>
    <row r="67" spans="1:17" x14ac:dyDescent="0.25">
      <c r="A67">
        <v>1966</v>
      </c>
      <c r="B67">
        <v>3.28</v>
      </c>
      <c r="C67">
        <v>2.61</v>
      </c>
      <c r="D67">
        <v>3.39</v>
      </c>
      <c r="E67">
        <v>3.57</v>
      </c>
      <c r="F67">
        <v>3.92</v>
      </c>
      <c r="G67">
        <v>4.8499999999999996</v>
      </c>
      <c r="H67">
        <v>4.6900000000000004</v>
      </c>
      <c r="I67">
        <v>3.33</v>
      </c>
      <c r="J67">
        <v>2.64</v>
      </c>
      <c r="K67">
        <v>2.04</v>
      </c>
      <c r="L67">
        <v>1.53</v>
      </c>
      <c r="M67">
        <v>2.93</v>
      </c>
      <c r="N67" s="11">
        <f t="shared" si="4"/>
        <v>3.6266666666666665</v>
      </c>
      <c r="O67" s="11">
        <f t="shared" si="5"/>
        <v>4.29</v>
      </c>
      <c r="P67" s="11">
        <f t="shared" si="6"/>
        <v>2.0699999999999998</v>
      </c>
      <c r="Q67" s="11">
        <f t="shared" si="7"/>
        <v>2.813333333333333</v>
      </c>
    </row>
    <row r="68" spans="1:17" x14ac:dyDescent="0.25">
      <c r="A68">
        <v>1967</v>
      </c>
      <c r="B68">
        <v>2.9</v>
      </c>
      <c r="C68">
        <v>2.61</v>
      </c>
      <c r="D68">
        <v>2.11</v>
      </c>
      <c r="E68">
        <v>0.9399999</v>
      </c>
      <c r="F68">
        <v>1.96</v>
      </c>
      <c r="G68">
        <v>1.01</v>
      </c>
      <c r="H68">
        <v>1.28</v>
      </c>
      <c r="I68">
        <v>3.37</v>
      </c>
      <c r="J68">
        <v>2.2599999999999998</v>
      </c>
      <c r="K68">
        <v>3.24</v>
      </c>
      <c r="L68">
        <v>-0.16</v>
      </c>
      <c r="M68">
        <v>-0.41</v>
      </c>
      <c r="N68" s="11">
        <f t="shared" si="4"/>
        <v>1.6699999666666667</v>
      </c>
      <c r="O68" s="11">
        <f t="shared" si="5"/>
        <v>1.8866666666666667</v>
      </c>
      <c r="P68" s="11">
        <f t="shared" si="6"/>
        <v>1.78</v>
      </c>
      <c r="Q68" s="11">
        <f t="shared" si="7"/>
        <v>-0.1866666333333333</v>
      </c>
    </row>
    <row r="69" spans="1:17" x14ac:dyDescent="0.25">
      <c r="A69">
        <v>1968</v>
      </c>
      <c r="B69">
        <v>-0.95</v>
      </c>
      <c r="C69">
        <v>0.80000009999999999</v>
      </c>
      <c r="D69">
        <v>-0.13</v>
      </c>
      <c r="E69">
        <v>-0.89</v>
      </c>
      <c r="F69">
        <v>-1.76</v>
      </c>
      <c r="G69">
        <v>-2.7</v>
      </c>
      <c r="H69">
        <v>-3.31</v>
      </c>
      <c r="I69">
        <v>-3.79</v>
      </c>
      <c r="J69">
        <v>0.74</v>
      </c>
      <c r="K69">
        <v>0.91</v>
      </c>
      <c r="L69">
        <v>0.71</v>
      </c>
      <c r="M69">
        <v>1.66</v>
      </c>
      <c r="N69" s="11">
        <f t="shared" si="4"/>
        <v>-0.92666666666666675</v>
      </c>
      <c r="O69" s="11">
        <f t="shared" si="5"/>
        <v>-3.2666666666666671</v>
      </c>
      <c r="P69" s="11">
        <f t="shared" si="6"/>
        <v>0.78666666666666663</v>
      </c>
      <c r="Q69" s="11">
        <f t="shared" si="7"/>
        <v>1.3933333333333333</v>
      </c>
    </row>
    <row r="70" spans="1:17" x14ac:dyDescent="0.25">
      <c r="A70">
        <v>1969</v>
      </c>
      <c r="B70">
        <v>1.32</v>
      </c>
      <c r="C70">
        <v>1.2</v>
      </c>
      <c r="D70">
        <v>0.54</v>
      </c>
      <c r="E70">
        <v>1.49</v>
      </c>
      <c r="F70">
        <v>-0.35</v>
      </c>
      <c r="G70">
        <v>-0.70999990000000002</v>
      </c>
      <c r="H70">
        <v>0.38</v>
      </c>
      <c r="I70">
        <v>1.75</v>
      </c>
      <c r="J70">
        <v>1.62</v>
      </c>
      <c r="K70">
        <v>1.45</v>
      </c>
      <c r="L70">
        <v>0</v>
      </c>
      <c r="M70">
        <v>-0.55000000000000004</v>
      </c>
      <c r="N70" s="11">
        <f t="shared" si="4"/>
        <v>0.56000000000000005</v>
      </c>
      <c r="O70" s="11">
        <f t="shared" si="5"/>
        <v>0.47333336666666664</v>
      </c>
      <c r="P70" s="11">
        <f t="shared" si="6"/>
        <v>1.0233333333333334</v>
      </c>
      <c r="Q70" s="11">
        <f t="shared" si="7"/>
        <v>-0.4466666666666666</v>
      </c>
    </row>
    <row r="71" spans="1:17" x14ac:dyDescent="0.25">
      <c r="A71">
        <v>1970</v>
      </c>
      <c r="B71">
        <v>-0.21</v>
      </c>
      <c r="C71">
        <v>-0.57999999999999996</v>
      </c>
      <c r="D71">
        <v>-1.0900000000000001</v>
      </c>
      <c r="E71">
        <v>0.51</v>
      </c>
      <c r="F71">
        <v>-5.0000009999999998E-2</v>
      </c>
      <c r="G71">
        <v>-0.62</v>
      </c>
      <c r="H71">
        <v>0.86</v>
      </c>
      <c r="I71">
        <v>0.58999990000000002</v>
      </c>
      <c r="J71">
        <v>0.83</v>
      </c>
      <c r="K71">
        <v>-0.7</v>
      </c>
      <c r="L71">
        <v>-1.1299999999999999</v>
      </c>
      <c r="M71">
        <v>0.51</v>
      </c>
      <c r="N71" s="11">
        <f t="shared" si="4"/>
        <v>-0.21000000333333335</v>
      </c>
      <c r="O71" s="11">
        <f t="shared" si="5"/>
        <v>0.27666663333333336</v>
      </c>
      <c r="P71" s="11">
        <f t="shared" si="6"/>
        <v>-0.33333333333333331</v>
      </c>
      <c r="Q71" s="11">
        <f t="shared" si="7"/>
        <v>0.97333333333333327</v>
      </c>
    </row>
    <row r="72" spans="1:17" x14ac:dyDescent="0.25">
      <c r="A72">
        <v>1971</v>
      </c>
      <c r="B72">
        <v>1</v>
      </c>
      <c r="C72">
        <v>1.41</v>
      </c>
      <c r="D72">
        <v>-0.37</v>
      </c>
      <c r="E72">
        <v>-0.73</v>
      </c>
      <c r="F72">
        <v>-0.77</v>
      </c>
      <c r="G72">
        <v>-0.97</v>
      </c>
      <c r="H72">
        <v>1.21</v>
      </c>
      <c r="I72">
        <v>2.36</v>
      </c>
      <c r="J72">
        <v>-9.000002E-2</v>
      </c>
      <c r="K72">
        <v>-0.85000010000000004</v>
      </c>
      <c r="L72">
        <v>-0.98999990000000004</v>
      </c>
      <c r="M72">
        <v>0.53</v>
      </c>
      <c r="N72" s="11">
        <f t="shared" si="4"/>
        <v>-0.62333333333333341</v>
      </c>
      <c r="O72" s="11">
        <f t="shared" si="5"/>
        <v>0.86666666666666659</v>
      </c>
      <c r="P72" s="11">
        <f t="shared" si="6"/>
        <v>-0.64333333999999998</v>
      </c>
      <c r="Q72" s="11">
        <f t="shared" si="7"/>
        <v>0.28000000000000003</v>
      </c>
    </row>
    <row r="73" spans="1:17" x14ac:dyDescent="0.25">
      <c r="A73">
        <v>1972</v>
      </c>
      <c r="B73">
        <v>0.73</v>
      </c>
      <c r="C73">
        <v>-0.42</v>
      </c>
      <c r="D73">
        <v>-0.45</v>
      </c>
      <c r="E73">
        <v>-1.29</v>
      </c>
      <c r="F73">
        <v>0.74</v>
      </c>
      <c r="G73">
        <v>0.79000009999999998</v>
      </c>
      <c r="H73">
        <v>1.05</v>
      </c>
      <c r="I73">
        <v>1.5</v>
      </c>
      <c r="J73">
        <v>1.27</v>
      </c>
      <c r="K73">
        <v>1.52</v>
      </c>
      <c r="L73">
        <v>1.57</v>
      </c>
      <c r="M73">
        <v>-0.15</v>
      </c>
      <c r="N73" s="11">
        <f t="shared" si="4"/>
        <v>-0.33333333333333331</v>
      </c>
      <c r="O73" s="11">
        <f t="shared" si="5"/>
        <v>1.1133333666666667</v>
      </c>
      <c r="P73" s="11">
        <f t="shared" si="6"/>
        <v>1.4533333333333334</v>
      </c>
      <c r="Q73" s="11">
        <f t="shared" si="7"/>
        <v>-0.31</v>
      </c>
    </row>
    <row r="74" spans="1:17" x14ac:dyDescent="0.25">
      <c r="A74">
        <v>1973</v>
      </c>
      <c r="B74">
        <v>-0.23</v>
      </c>
      <c r="C74">
        <v>-0.55000000000000004</v>
      </c>
      <c r="D74">
        <v>0.19</v>
      </c>
      <c r="E74">
        <v>0.49</v>
      </c>
      <c r="F74">
        <v>0.39</v>
      </c>
      <c r="G74">
        <v>0.69</v>
      </c>
      <c r="H74">
        <v>-7.9999979999999998E-2</v>
      </c>
      <c r="I74">
        <v>-0.36000009999999999</v>
      </c>
      <c r="J74">
        <v>-0.94</v>
      </c>
      <c r="K74">
        <v>-0.38</v>
      </c>
      <c r="L74">
        <v>-0.65</v>
      </c>
      <c r="M74">
        <v>-1.06</v>
      </c>
      <c r="N74" s="11">
        <f t="shared" si="4"/>
        <v>0.35666666666666663</v>
      </c>
      <c r="O74" s="11">
        <f t="shared" si="5"/>
        <v>8.3333306666666662E-2</v>
      </c>
      <c r="P74" s="11">
        <f t="shared" si="6"/>
        <v>-0.65666666666666662</v>
      </c>
      <c r="Q74" s="11">
        <f t="shared" si="7"/>
        <v>0.3166666666666666</v>
      </c>
    </row>
    <row r="75" spans="1:17" x14ac:dyDescent="0.25">
      <c r="A75">
        <v>1974</v>
      </c>
      <c r="B75">
        <v>0.87</v>
      </c>
      <c r="C75">
        <v>1.1399999999999999</v>
      </c>
      <c r="D75">
        <v>-0.17</v>
      </c>
      <c r="E75">
        <v>-1.1100000000000001</v>
      </c>
      <c r="F75">
        <v>-1.07</v>
      </c>
      <c r="G75">
        <v>-1.44</v>
      </c>
      <c r="H75">
        <v>-1.81</v>
      </c>
      <c r="I75">
        <v>-2.0299999999999998</v>
      </c>
      <c r="J75">
        <v>-2.0299999999999998</v>
      </c>
      <c r="K75">
        <v>-2.33</v>
      </c>
      <c r="L75">
        <v>-2.2599999999999998</v>
      </c>
      <c r="M75">
        <v>-2.19</v>
      </c>
      <c r="N75" s="11">
        <f t="shared" si="4"/>
        <v>-0.78333333333333333</v>
      </c>
      <c r="O75" s="11">
        <f t="shared" si="5"/>
        <v>-1.7599999999999998</v>
      </c>
      <c r="P75" s="11">
        <f t="shared" si="6"/>
        <v>-2.2066666666666666</v>
      </c>
      <c r="Q75" s="11">
        <f t="shared" si="7"/>
        <v>-1.4266666666666667</v>
      </c>
    </row>
    <row r="76" spans="1:17" x14ac:dyDescent="0.25">
      <c r="A76">
        <v>1975</v>
      </c>
      <c r="B76">
        <v>-2.4700000000000002</v>
      </c>
      <c r="C76">
        <v>0.38</v>
      </c>
      <c r="D76">
        <v>1.19</v>
      </c>
      <c r="E76">
        <v>1.72</v>
      </c>
      <c r="F76">
        <v>-7.0000000000000007E-2</v>
      </c>
      <c r="G76">
        <v>-0.66000009999999998</v>
      </c>
      <c r="H76">
        <v>-0.54</v>
      </c>
      <c r="I76">
        <v>-0.96</v>
      </c>
      <c r="J76">
        <v>-1.36</v>
      </c>
      <c r="K76">
        <v>-1.47</v>
      </c>
      <c r="L76">
        <v>0.6</v>
      </c>
      <c r="M76">
        <v>0.63</v>
      </c>
      <c r="N76" s="11">
        <f t="shared" si="4"/>
        <v>0.94666666666666677</v>
      </c>
      <c r="O76" s="11">
        <f t="shared" si="5"/>
        <v>-0.72000003333333329</v>
      </c>
      <c r="P76" s="11">
        <f t="shared" si="6"/>
        <v>-0.74333333333333329</v>
      </c>
      <c r="Q76" s="11">
        <f t="shared" si="7"/>
        <v>0.57333333333333336</v>
      </c>
    </row>
    <row r="77" spans="1:17" x14ac:dyDescent="0.25">
      <c r="A77">
        <v>1976</v>
      </c>
      <c r="B77">
        <v>1.07</v>
      </c>
      <c r="C77">
        <v>0.02</v>
      </c>
      <c r="D77">
        <v>-0.48</v>
      </c>
      <c r="E77">
        <v>-1.05</v>
      </c>
      <c r="F77">
        <v>-1.1000000000000001</v>
      </c>
      <c r="G77">
        <v>0.76</v>
      </c>
      <c r="H77">
        <v>-0.11</v>
      </c>
      <c r="I77">
        <v>-1.05</v>
      </c>
      <c r="J77">
        <v>-1.44</v>
      </c>
      <c r="K77">
        <v>-1.48</v>
      </c>
      <c r="L77">
        <v>-1.51</v>
      </c>
      <c r="M77">
        <v>0.48</v>
      </c>
      <c r="N77" s="11">
        <f t="shared" si="4"/>
        <v>-0.87666666666666659</v>
      </c>
      <c r="O77" s="11">
        <f t="shared" si="5"/>
        <v>-0.13333333333333333</v>
      </c>
      <c r="P77" s="11">
        <f t="shared" si="6"/>
        <v>-1.4766666666666666</v>
      </c>
      <c r="Q77" s="11">
        <f t="shared" si="7"/>
        <v>0.73333333333333339</v>
      </c>
    </row>
    <row r="78" spans="1:17" x14ac:dyDescent="0.25">
      <c r="A78">
        <v>1977</v>
      </c>
      <c r="B78">
        <v>0.76</v>
      </c>
      <c r="C78">
        <v>0.96</v>
      </c>
      <c r="D78">
        <v>0.66000009999999998</v>
      </c>
      <c r="E78">
        <v>1.04</v>
      </c>
      <c r="F78">
        <v>1.45</v>
      </c>
      <c r="G78">
        <v>3.42</v>
      </c>
      <c r="H78">
        <v>2.62</v>
      </c>
      <c r="I78">
        <v>1.65</v>
      </c>
      <c r="J78">
        <v>1.31</v>
      </c>
      <c r="K78">
        <v>1.17</v>
      </c>
      <c r="L78">
        <v>1.94</v>
      </c>
      <c r="M78">
        <v>3.09</v>
      </c>
      <c r="N78" s="11">
        <f t="shared" si="4"/>
        <v>1.0500000333333332</v>
      </c>
      <c r="O78" s="11">
        <f t="shared" si="5"/>
        <v>2.563333333333333</v>
      </c>
      <c r="P78" s="11">
        <f t="shared" si="6"/>
        <v>1.4733333333333334</v>
      </c>
      <c r="Q78" s="11">
        <f t="shared" si="7"/>
        <v>3.2566666666666664</v>
      </c>
    </row>
    <row r="79" spans="1:17" x14ac:dyDescent="0.25">
      <c r="A79">
        <v>1978</v>
      </c>
      <c r="B79">
        <v>3.18</v>
      </c>
      <c r="C79">
        <v>3.5</v>
      </c>
      <c r="D79">
        <v>2.48</v>
      </c>
      <c r="E79">
        <v>0.94999990000000001</v>
      </c>
      <c r="F79">
        <v>1.58</v>
      </c>
      <c r="G79">
        <v>1.29</v>
      </c>
      <c r="H79">
        <v>3.6</v>
      </c>
      <c r="I79">
        <v>2.2599999999999998</v>
      </c>
      <c r="J79">
        <v>1.34</v>
      </c>
      <c r="K79">
        <v>2.87</v>
      </c>
      <c r="L79">
        <v>-0.19</v>
      </c>
      <c r="M79">
        <v>-0.78</v>
      </c>
      <c r="N79" s="11">
        <f t="shared" si="4"/>
        <v>1.6699999666666667</v>
      </c>
      <c r="O79" s="11">
        <f t="shared" si="5"/>
        <v>2.3833333333333333</v>
      </c>
      <c r="P79" s="11">
        <f t="shared" si="6"/>
        <v>1.3399999999999999</v>
      </c>
      <c r="Q79" s="11">
        <f t="shared" si="7"/>
        <v>-1.4333333333333333</v>
      </c>
    </row>
    <row r="80" spans="1:17" x14ac:dyDescent="0.25">
      <c r="A80">
        <v>1979</v>
      </c>
      <c r="B80">
        <v>-1.49</v>
      </c>
      <c r="C80">
        <v>-2.0299999999999998</v>
      </c>
      <c r="D80">
        <v>-2.34</v>
      </c>
      <c r="E80">
        <v>-2.91</v>
      </c>
      <c r="F80">
        <v>-2.66</v>
      </c>
      <c r="G80">
        <v>-3.36</v>
      </c>
      <c r="H80">
        <v>-9.9999900000000003E-3</v>
      </c>
      <c r="I80">
        <v>1.8</v>
      </c>
      <c r="J80">
        <v>1.51</v>
      </c>
      <c r="K80">
        <v>2.19</v>
      </c>
      <c r="L80">
        <v>2.59</v>
      </c>
      <c r="M80">
        <v>2.98</v>
      </c>
      <c r="N80" s="11">
        <f t="shared" si="4"/>
        <v>-2.6366666666666667</v>
      </c>
      <c r="O80" s="11">
        <f t="shared" si="5"/>
        <v>-0.52333332999999993</v>
      </c>
      <c r="P80" s="11">
        <f t="shared" si="6"/>
        <v>2.0966666666666667</v>
      </c>
      <c r="Q80" s="11">
        <f t="shared" si="7"/>
        <v>3.1033333333333335</v>
      </c>
    </row>
    <row r="81" spans="1:17" x14ac:dyDescent="0.25">
      <c r="A81">
        <v>1980</v>
      </c>
      <c r="B81">
        <v>2.4</v>
      </c>
      <c r="C81">
        <v>3.93</v>
      </c>
      <c r="D81">
        <v>3.1</v>
      </c>
      <c r="E81">
        <v>4.3499999999999996</v>
      </c>
      <c r="F81">
        <v>4.95</v>
      </c>
      <c r="G81">
        <v>4.96</v>
      </c>
      <c r="H81">
        <v>4.32</v>
      </c>
      <c r="I81">
        <v>5.0199999999999996</v>
      </c>
      <c r="J81">
        <v>3.78</v>
      </c>
      <c r="K81">
        <v>2.2999999999999998</v>
      </c>
      <c r="L81">
        <v>2.09</v>
      </c>
      <c r="M81">
        <v>1.78</v>
      </c>
      <c r="N81" s="11">
        <f t="shared" si="4"/>
        <v>4.1333333333333329</v>
      </c>
      <c r="O81" s="11">
        <f t="shared" si="5"/>
        <v>4.7666666666666666</v>
      </c>
      <c r="P81" s="11">
        <f t="shared" si="6"/>
        <v>2.7233333333333332</v>
      </c>
      <c r="Q81" s="11">
        <f t="shared" si="7"/>
        <v>1.6966666666666665</v>
      </c>
    </row>
    <row r="82" spans="1:17" x14ac:dyDescent="0.25">
      <c r="A82">
        <v>1981</v>
      </c>
      <c r="B82">
        <v>2.09</v>
      </c>
      <c r="C82">
        <v>1.22</v>
      </c>
      <c r="D82">
        <v>1.01</v>
      </c>
      <c r="E82">
        <v>0.92</v>
      </c>
      <c r="F82">
        <v>3.88</v>
      </c>
      <c r="G82">
        <v>3.71</v>
      </c>
      <c r="H82">
        <v>2.74</v>
      </c>
      <c r="I82">
        <v>1.52</v>
      </c>
      <c r="J82">
        <v>2.83</v>
      </c>
      <c r="K82">
        <v>-0.26</v>
      </c>
      <c r="L82">
        <v>-0.52</v>
      </c>
      <c r="M82">
        <v>-0.86</v>
      </c>
      <c r="N82" s="11">
        <f t="shared" si="4"/>
        <v>1.9366666666666668</v>
      </c>
      <c r="O82" s="11">
        <f t="shared" si="5"/>
        <v>2.6566666666666667</v>
      </c>
      <c r="P82" s="11">
        <f t="shared" si="6"/>
        <v>0.68333333333333346</v>
      </c>
      <c r="Q82" s="11">
        <f t="shared" si="7"/>
        <v>-0.82333336666666668</v>
      </c>
    </row>
    <row r="83" spans="1:17" x14ac:dyDescent="0.25">
      <c r="A83">
        <v>1982</v>
      </c>
      <c r="B83">
        <v>-0.82</v>
      </c>
      <c r="C83">
        <v>-0.79000009999999998</v>
      </c>
      <c r="D83">
        <v>-0.91000009999999998</v>
      </c>
      <c r="E83">
        <v>-1.62</v>
      </c>
      <c r="F83">
        <v>0.5699999</v>
      </c>
      <c r="G83">
        <v>1.4</v>
      </c>
      <c r="H83">
        <v>1.99</v>
      </c>
      <c r="I83">
        <v>2.0299999999999998</v>
      </c>
      <c r="J83">
        <v>2.76</v>
      </c>
      <c r="K83">
        <v>2.68</v>
      </c>
      <c r="L83">
        <v>2.67</v>
      </c>
      <c r="M83">
        <v>-0.46</v>
      </c>
      <c r="N83" s="11">
        <f t="shared" si="4"/>
        <v>-0.65333340000000006</v>
      </c>
      <c r="O83" s="11">
        <f t="shared" si="5"/>
        <v>1.8066666666666666</v>
      </c>
      <c r="P83" s="11">
        <f t="shared" si="6"/>
        <v>2.7033333333333331</v>
      </c>
      <c r="Q83" s="11">
        <f t="shared" si="7"/>
        <v>-0.74666670000000002</v>
      </c>
    </row>
    <row r="84" spans="1:17" x14ac:dyDescent="0.25">
      <c r="A84">
        <v>1983</v>
      </c>
      <c r="B84">
        <v>-0.72000010000000003</v>
      </c>
      <c r="C84">
        <v>-1.06</v>
      </c>
      <c r="D84">
        <v>-1.33</v>
      </c>
      <c r="E84">
        <v>-0.94</v>
      </c>
      <c r="F84">
        <v>-1.4</v>
      </c>
      <c r="G84">
        <v>-1.47</v>
      </c>
      <c r="H84">
        <v>-1.21</v>
      </c>
      <c r="I84">
        <v>-1.85</v>
      </c>
      <c r="J84">
        <v>1.1599999999999999</v>
      </c>
      <c r="K84">
        <v>-0.16</v>
      </c>
      <c r="L84">
        <v>-0.80999989999999999</v>
      </c>
      <c r="M84">
        <v>-1.65</v>
      </c>
      <c r="N84" s="11">
        <f t="shared" si="4"/>
        <v>-1.2233333333333334</v>
      </c>
      <c r="O84" s="11">
        <f t="shared" si="5"/>
        <v>-1.5099999999999998</v>
      </c>
      <c r="P84" s="11">
        <f t="shared" si="6"/>
        <v>6.3333366666666627E-2</v>
      </c>
      <c r="Q84" s="11">
        <f t="shared" si="7"/>
        <v>-0.96666666666666645</v>
      </c>
    </row>
    <row r="85" spans="1:17" x14ac:dyDescent="0.25">
      <c r="A85">
        <v>1984</v>
      </c>
      <c r="B85">
        <v>-1.74</v>
      </c>
      <c r="C85">
        <v>0.49</v>
      </c>
      <c r="D85">
        <v>1.27</v>
      </c>
      <c r="E85">
        <v>0.85</v>
      </c>
      <c r="F85">
        <v>1.67</v>
      </c>
      <c r="G85">
        <v>1.5</v>
      </c>
      <c r="H85">
        <v>1.59</v>
      </c>
      <c r="I85">
        <v>-1.07</v>
      </c>
      <c r="J85">
        <v>-0.97000010000000003</v>
      </c>
      <c r="K85">
        <v>1.75</v>
      </c>
      <c r="L85">
        <v>1.48</v>
      </c>
      <c r="M85">
        <v>2.63</v>
      </c>
      <c r="N85" s="11">
        <f t="shared" si="4"/>
        <v>1.2633333333333334</v>
      </c>
      <c r="O85" s="11">
        <f t="shared" si="5"/>
        <v>0.67333333333333323</v>
      </c>
      <c r="P85" s="11">
        <f t="shared" si="6"/>
        <v>0.75333329999999998</v>
      </c>
      <c r="Q85" s="11">
        <f t="shared" si="7"/>
        <v>2.8200000000000003</v>
      </c>
    </row>
    <row r="86" spans="1:17" x14ac:dyDescent="0.25">
      <c r="A86">
        <v>1985</v>
      </c>
      <c r="B86">
        <v>2.85</v>
      </c>
      <c r="C86">
        <v>2.98</v>
      </c>
      <c r="D86">
        <v>2.82</v>
      </c>
      <c r="E86">
        <v>2.5499999999999998</v>
      </c>
      <c r="F86">
        <v>3.61</v>
      </c>
      <c r="G86">
        <v>9.9999900000000003E-3</v>
      </c>
      <c r="H86">
        <v>-0.73000010000000004</v>
      </c>
      <c r="I86">
        <v>-1.59</v>
      </c>
      <c r="J86">
        <v>-1.9</v>
      </c>
      <c r="K86">
        <v>-2.11</v>
      </c>
      <c r="L86">
        <v>-2.14</v>
      </c>
      <c r="M86">
        <v>-2.56</v>
      </c>
      <c r="N86" s="11">
        <f t="shared" si="4"/>
        <v>2.9933333333333327</v>
      </c>
      <c r="O86" s="11">
        <f t="shared" si="5"/>
        <v>-0.77000003666666672</v>
      </c>
      <c r="P86" s="11">
        <f t="shared" si="6"/>
        <v>-2.0500000000000003</v>
      </c>
      <c r="Q86" s="11">
        <f t="shared" si="7"/>
        <v>-2.52</v>
      </c>
    </row>
    <row r="87" spans="1:17" x14ac:dyDescent="0.25">
      <c r="A87">
        <v>1986</v>
      </c>
      <c r="B87">
        <v>-2.71</v>
      </c>
      <c r="C87">
        <v>-2.29</v>
      </c>
      <c r="D87">
        <v>-2.17</v>
      </c>
      <c r="E87">
        <v>-1.85</v>
      </c>
      <c r="F87">
        <v>-1.91</v>
      </c>
      <c r="G87">
        <v>-1.86</v>
      </c>
      <c r="H87">
        <v>-2.59</v>
      </c>
      <c r="I87">
        <v>-2.56</v>
      </c>
      <c r="J87">
        <v>-2.79</v>
      </c>
      <c r="K87">
        <v>-2.74</v>
      </c>
      <c r="L87">
        <v>-1.79</v>
      </c>
      <c r="M87">
        <v>-1.97</v>
      </c>
      <c r="N87" s="11">
        <f t="shared" si="4"/>
        <v>-1.9766666666666666</v>
      </c>
      <c r="O87" s="11">
        <f t="shared" si="5"/>
        <v>-2.3366666666666664</v>
      </c>
      <c r="P87" s="11">
        <f t="shared" si="6"/>
        <v>-2.44</v>
      </c>
      <c r="Q87" s="11">
        <f t="shared" si="7"/>
        <v>-2.14</v>
      </c>
    </row>
    <row r="88" spans="1:17" x14ac:dyDescent="0.25">
      <c r="A88">
        <v>1987</v>
      </c>
      <c r="B88">
        <v>-2.33</v>
      </c>
      <c r="C88">
        <v>-2.12</v>
      </c>
      <c r="D88">
        <v>-1.1299999999999999</v>
      </c>
      <c r="E88">
        <v>-1.27</v>
      </c>
      <c r="F88">
        <v>-1.85</v>
      </c>
      <c r="G88">
        <v>-2.46</v>
      </c>
      <c r="H88">
        <v>0.46</v>
      </c>
      <c r="I88">
        <v>0.71</v>
      </c>
      <c r="J88">
        <v>0.38</v>
      </c>
      <c r="K88">
        <v>0.85</v>
      </c>
      <c r="L88">
        <v>0.91</v>
      </c>
      <c r="M88">
        <v>0.80999989999999999</v>
      </c>
      <c r="N88" s="11">
        <f t="shared" si="4"/>
        <v>-1.4166666666666667</v>
      </c>
      <c r="O88" s="11">
        <f t="shared" si="5"/>
        <v>-0.43</v>
      </c>
      <c r="P88" s="11">
        <f t="shared" si="6"/>
        <v>0.71333333333333337</v>
      </c>
      <c r="Q88" s="11">
        <f t="shared" si="7"/>
        <v>0.36333330000000003</v>
      </c>
    </row>
    <row r="89" spans="1:17" x14ac:dyDescent="0.25">
      <c r="A89">
        <v>1988</v>
      </c>
      <c r="B89">
        <v>0.89</v>
      </c>
      <c r="C89">
        <v>-0.61</v>
      </c>
      <c r="D89">
        <v>-0.82000010000000001</v>
      </c>
      <c r="E89">
        <v>-1.24</v>
      </c>
      <c r="F89">
        <v>-1.88</v>
      </c>
      <c r="G89">
        <v>-1.93</v>
      </c>
      <c r="H89">
        <v>-2.87</v>
      </c>
      <c r="I89">
        <v>-3.04</v>
      </c>
      <c r="J89">
        <v>-3.23</v>
      </c>
      <c r="K89">
        <v>-2.5499999999999998</v>
      </c>
      <c r="L89">
        <v>-2.63</v>
      </c>
      <c r="M89">
        <v>-2.4</v>
      </c>
      <c r="N89" s="11">
        <f t="shared" si="4"/>
        <v>-1.3133333666666667</v>
      </c>
      <c r="O89" s="11">
        <f t="shared" si="5"/>
        <v>-2.6133333333333333</v>
      </c>
      <c r="P89" s="11">
        <f t="shared" si="6"/>
        <v>-2.8033333333333332</v>
      </c>
      <c r="Q89" s="11">
        <f t="shared" si="7"/>
        <v>-2.5033333333333334</v>
      </c>
    </row>
    <row r="90" spans="1:17" x14ac:dyDescent="0.25">
      <c r="A90">
        <v>1989</v>
      </c>
      <c r="B90">
        <v>-2.52</v>
      </c>
      <c r="C90">
        <v>-2.59</v>
      </c>
      <c r="D90">
        <v>-2.83</v>
      </c>
      <c r="E90">
        <v>-2.97</v>
      </c>
      <c r="F90">
        <v>-3.73</v>
      </c>
      <c r="G90">
        <v>-3.73</v>
      </c>
      <c r="H90">
        <v>-3.52</v>
      </c>
      <c r="I90">
        <v>-3.31</v>
      </c>
      <c r="J90">
        <v>-3.54</v>
      </c>
      <c r="K90">
        <v>-3.81</v>
      </c>
      <c r="L90">
        <v>-4.09</v>
      </c>
      <c r="M90">
        <v>-3.82</v>
      </c>
      <c r="N90" s="11">
        <f t="shared" si="4"/>
        <v>-3.1766666666666672</v>
      </c>
      <c r="O90" s="11">
        <f t="shared" si="5"/>
        <v>-3.52</v>
      </c>
      <c r="P90" s="11">
        <f t="shared" si="6"/>
        <v>-3.813333333333333</v>
      </c>
      <c r="Q90" s="11">
        <f t="shared" si="7"/>
        <v>-2.3233333333333333</v>
      </c>
    </row>
    <row r="91" spans="1:17" x14ac:dyDescent="0.25">
      <c r="A91">
        <v>1990</v>
      </c>
      <c r="B91">
        <v>-3.59</v>
      </c>
      <c r="C91">
        <v>0.44</v>
      </c>
      <c r="D91">
        <v>0.83</v>
      </c>
      <c r="E91">
        <v>1.57</v>
      </c>
      <c r="F91">
        <v>1.38</v>
      </c>
      <c r="G91">
        <v>1.35</v>
      </c>
      <c r="H91">
        <v>0.63</v>
      </c>
      <c r="I91">
        <v>0.06</v>
      </c>
      <c r="J91">
        <v>1.33</v>
      </c>
      <c r="K91">
        <v>-0.18</v>
      </c>
      <c r="L91">
        <v>-0.47</v>
      </c>
      <c r="M91">
        <v>-0.9300001</v>
      </c>
      <c r="N91" s="11">
        <f t="shared" si="4"/>
        <v>1.26</v>
      </c>
      <c r="O91" s="11">
        <f t="shared" si="5"/>
        <v>0.68</v>
      </c>
      <c r="P91" s="11">
        <f t="shared" si="6"/>
        <v>0.22666666666666671</v>
      </c>
      <c r="Q91" s="11">
        <f t="shared" si="7"/>
        <v>-1.1333333666666665</v>
      </c>
    </row>
    <row r="92" spans="1:17" x14ac:dyDescent="0.25">
      <c r="A92">
        <v>1991</v>
      </c>
      <c r="B92">
        <v>-1.04</v>
      </c>
      <c r="C92">
        <v>-1.43</v>
      </c>
      <c r="D92">
        <v>-1.6</v>
      </c>
      <c r="E92">
        <v>-1.82</v>
      </c>
      <c r="F92">
        <v>0.42</v>
      </c>
      <c r="G92">
        <v>0.34</v>
      </c>
      <c r="H92">
        <v>0.56999999999999995</v>
      </c>
      <c r="I92">
        <v>-0.67</v>
      </c>
      <c r="J92">
        <v>-9.000002E-2</v>
      </c>
      <c r="K92">
        <v>-0.21</v>
      </c>
      <c r="L92">
        <v>-0.54</v>
      </c>
      <c r="M92">
        <v>1.71</v>
      </c>
      <c r="N92" s="11">
        <f t="shared" si="4"/>
        <v>-1</v>
      </c>
      <c r="O92" s="11">
        <f t="shared" si="5"/>
        <v>7.999999999999996E-2</v>
      </c>
      <c r="P92" s="11">
        <f t="shared" si="6"/>
        <v>-0.28000000666666663</v>
      </c>
      <c r="Q92" s="11">
        <f t="shared" si="7"/>
        <v>1.5599999999999998</v>
      </c>
    </row>
    <row r="93" spans="1:17" x14ac:dyDescent="0.25">
      <c r="A93">
        <v>1992</v>
      </c>
      <c r="B93">
        <v>1.53</v>
      </c>
      <c r="C93">
        <v>1.44</v>
      </c>
      <c r="D93">
        <v>1.79</v>
      </c>
      <c r="E93">
        <v>1.59</v>
      </c>
      <c r="F93">
        <v>1.86</v>
      </c>
      <c r="G93">
        <v>2.42</v>
      </c>
      <c r="H93">
        <v>1.2</v>
      </c>
      <c r="I93">
        <v>0.72000010000000003</v>
      </c>
      <c r="J93">
        <v>1.08</v>
      </c>
      <c r="K93">
        <v>2.36</v>
      </c>
      <c r="L93">
        <v>2.13</v>
      </c>
      <c r="M93">
        <v>1.79</v>
      </c>
      <c r="N93" s="11">
        <f t="shared" si="4"/>
        <v>1.7466666666666668</v>
      </c>
      <c r="O93" s="11">
        <f t="shared" si="5"/>
        <v>1.4466667</v>
      </c>
      <c r="P93" s="11">
        <f t="shared" si="6"/>
        <v>1.8566666666666667</v>
      </c>
      <c r="Q93" s="11">
        <f t="shared" si="7"/>
        <v>1.21</v>
      </c>
    </row>
    <row r="94" spans="1:17" x14ac:dyDescent="0.25">
      <c r="A94">
        <v>1993</v>
      </c>
      <c r="B94">
        <v>1.29</v>
      </c>
      <c r="C94">
        <v>0.55000000000000004</v>
      </c>
      <c r="D94">
        <v>1.92</v>
      </c>
      <c r="E94">
        <v>2.0499999999999998</v>
      </c>
      <c r="F94">
        <v>1.69</v>
      </c>
      <c r="G94">
        <v>3.37</v>
      </c>
      <c r="H94">
        <v>3.59</v>
      </c>
      <c r="I94">
        <v>-0.75999989999999995</v>
      </c>
      <c r="J94">
        <v>-1.1299999999999999</v>
      </c>
      <c r="K94">
        <v>0.45</v>
      </c>
      <c r="L94">
        <v>0.54000009999999998</v>
      </c>
      <c r="M94">
        <v>0.97</v>
      </c>
      <c r="N94" s="11">
        <f t="shared" si="4"/>
        <v>1.8866666666666667</v>
      </c>
      <c r="O94" s="11">
        <f t="shared" si="5"/>
        <v>2.0666667000000003</v>
      </c>
      <c r="P94" s="11">
        <f t="shared" si="6"/>
        <v>-4.6666633333333318E-2</v>
      </c>
      <c r="Q94" s="11">
        <f t="shared" si="7"/>
        <v>0.12</v>
      </c>
    </row>
    <row r="95" spans="1:17" x14ac:dyDescent="0.25">
      <c r="A95">
        <v>1994</v>
      </c>
      <c r="B95">
        <v>-0.11</v>
      </c>
      <c r="C95">
        <v>-0.5</v>
      </c>
      <c r="D95">
        <v>-0.8100001</v>
      </c>
      <c r="E95">
        <v>-0.78</v>
      </c>
      <c r="F95">
        <v>-0.75000009999999995</v>
      </c>
      <c r="G95">
        <v>-0.49</v>
      </c>
      <c r="H95">
        <v>-0.03</v>
      </c>
      <c r="I95">
        <v>-0.75999989999999995</v>
      </c>
      <c r="J95">
        <v>0.56999999999999995</v>
      </c>
      <c r="K95">
        <v>0.66</v>
      </c>
      <c r="L95">
        <v>1.1200000000000001</v>
      </c>
      <c r="M95">
        <v>1.25</v>
      </c>
      <c r="N95" s="11">
        <f t="shared" si="4"/>
        <v>-0.78000006666666666</v>
      </c>
      <c r="O95" s="11">
        <f t="shared" si="5"/>
        <v>-0.42666663333333332</v>
      </c>
      <c r="P95" s="11">
        <f t="shared" si="6"/>
        <v>0.78333333333333333</v>
      </c>
      <c r="Q95" s="11">
        <f t="shared" si="7"/>
        <v>0.82666666666666666</v>
      </c>
    </row>
    <row r="96" spans="1:17" x14ac:dyDescent="0.25">
      <c r="A96">
        <v>1995</v>
      </c>
      <c r="B96">
        <v>1.46</v>
      </c>
      <c r="C96">
        <v>-0.23</v>
      </c>
      <c r="D96">
        <v>-0.43</v>
      </c>
      <c r="E96">
        <v>-9.000002E-2</v>
      </c>
      <c r="F96">
        <v>-0.69999990000000001</v>
      </c>
      <c r="G96">
        <v>0.64</v>
      </c>
      <c r="H96">
        <v>0.63</v>
      </c>
      <c r="I96">
        <v>0.9300001</v>
      </c>
      <c r="J96">
        <v>-0.22</v>
      </c>
      <c r="K96">
        <v>-0.02</v>
      </c>
      <c r="L96">
        <v>-0.15</v>
      </c>
      <c r="M96">
        <v>-0.76</v>
      </c>
      <c r="N96" s="11">
        <f t="shared" si="4"/>
        <v>-0.40666664000000002</v>
      </c>
      <c r="O96" s="11">
        <f t="shared" si="5"/>
        <v>0.73333336666666671</v>
      </c>
      <c r="P96" s="11">
        <f t="shared" si="6"/>
        <v>-0.13</v>
      </c>
      <c r="Q96" s="11">
        <f t="shared" si="7"/>
        <v>-1.0833333333333333</v>
      </c>
    </row>
    <row r="97" spans="1:17" x14ac:dyDescent="0.25">
      <c r="A97">
        <v>1996</v>
      </c>
      <c r="B97">
        <v>-1.22</v>
      </c>
      <c r="C97">
        <v>-1.27</v>
      </c>
      <c r="D97">
        <v>-0.87</v>
      </c>
      <c r="E97">
        <v>-0.87000010000000005</v>
      </c>
      <c r="F97">
        <v>-1.1299999999999999</v>
      </c>
      <c r="G97">
        <v>-1.85</v>
      </c>
      <c r="H97">
        <v>-2.63</v>
      </c>
      <c r="I97">
        <v>-2.85</v>
      </c>
      <c r="J97">
        <v>-3.2</v>
      </c>
      <c r="K97">
        <v>-3.05</v>
      </c>
      <c r="L97">
        <v>-0.03</v>
      </c>
      <c r="M97">
        <v>0.05</v>
      </c>
      <c r="N97" s="11">
        <f t="shared" ref="N97:N122" si="8">IF(AND(ISNUMBER(D97),ISNUMBER(E97),ISNUMBER(F97)),AVERAGE(D97:F97),"")</f>
        <v>-0.95666669999999998</v>
      </c>
      <c r="O97" s="11">
        <f t="shared" ref="O97:O122" si="9">IF(AND(ISNUMBER(G97),ISNUMBER(H97),ISNUMBER(I97)),AVERAGE(G97:I97),"")</f>
        <v>-2.4433333333333334</v>
      </c>
      <c r="P97" s="11">
        <f t="shared" ref="P97:P122" si="10">IF(AND(ISNUMBER(J97),ISNUMBER(K97),ISNUMBER(L97)),AVERAGE(J97:L97),"")</f>
        <v>-2.0933333333333333</v>
      </c>
      <c r="Q97" s="11">
        <f t="shared" ref="Q97:Q122" si="11">IF(AND(ISNUMBER(M97),ISNUMBER(B98),ISNUMBER(C98)),AVERAGE(M97,B98:C98),"")</f>
        <v>0.6</v>
      </c>
    </row>
    <row r="98" spans="1:17" x14ac:dyDescent="0.25">
      <c r="A98">
        <v>1997</v>
      </c>
      <c r="B98">
        <v>0.71</v>
      </c>
      <c r="C98">
        <v>1.04</v>
      </c>
      <c r="D98">
        <v>1.17</v>
      </c>
      <c r="E98">
        <v>2.25</v>
      </c>
      <c r="F98">
        <v>1.63</v>
      </c>
      <c r="G98">
        <v>1.94</v>
      </c>
      <c r="H98">
        <v>2.33</v>
      </c>
      <c r="I98">
        <v>1.83</v>
      </c>
      <c r="J98">
        <v>1.87</v>
      </c>
      <c r="K98">
        <v>2.58</v>
      </c>
      <c r="L98">
        <v>3.16</v>
      </c>
      <c r="M98">
        <v>3.16</v>
      </c>
      <c r="N98" s="11">
        <f t="shared" si="8"/>
        <v>1.6833333333333333</v>
      </c>
      <c r="O98" s="11">
        <f t="shared" si="9"/>
        <v>2.0333333333333332</v>
      </c>
      <c r="P98" s="11">
        <f t="shared" si="10"/>
        <v>2.5366666666666666</v>
      </c>
      <c r="Q98" s="11">
        <f t="shared" si="11"/>
        <v>2.77</v>
      </c>
    </row>
    <row r="99" spans="1:17" x14ac:dyDescent="0.25">
      <c r="A99">
        <v>1998</v>
      </c>
      <c r="B99">
        <v>2.84</v>
      </c>
      <c r="C99">
        <v>2.31</v>
      </c>
      <c r="D99">
        <v>1.58</v>
      </c>
      <c r="E99">
        <v>1.94</v>
      </c>
      <c r="F99">
        <v>-0.46</v>
      </c>
      <c r="G99">
        <v>-1.43</v>
      </c>
      <c r="H99">
        <v>-2.08</v>
      </c>
      <c r="I99">
        <v>-2.5099999999999998</v>
      </c>
      <c r="J99">
        <v>-2.66</v>
      </c>
      <c r="K99">
        <v>-3.01</v>
      </c>
      <c r="L99">
        <v>-3.25</v>
      </c>
      <c r="M99">
        <v>-3.52</v>
      </c>
      <c r="N99" s="11">
        <f t="shared" si="8"/>
        <v>1.02</v>
      </c>
      <c r="O99" s="11">
        <f t="shared" si="9"/>
        <v>-2.0066666666666664</v>
      </c>
      <c r="P99" s="11">
        <f t="shared" si="10"/>
        <v>-2.9733333333333332</v>
      </c>
      <c r="Q99" s="11">
        <f t="shared" si="11"/>
        <v>-3.793333333333333</v>
      </c>
    </row>
    <row r="100" spans="1:17" x14ac:dyDescent="0.25">
      <c r="A100">
        <v>1999</v>
      </c>
      <c r="B100">
        <v>-3.86</v>
      </c>
      <c r="C100">
        <v>-4</v>
      </c>
      <c r="D100">
        <v>-3.76</v>
      </c>
      <c r="E100">
        <v>-3.92</v>
      </c>
      <c r="F100">
        <v>-4.01</v>
      </c>
      <c r="G100">
        <v>0.55999989999999999</v>
      </c>
      <c r="H100">
        <v>0.24</v>
      </c>
      <c r="I100">
        <v>0.92000009999999999</v>
      </c>
      <c r="J100">
        <v>1.45</v>
      </c>
      <c r="K100">
        <v>1.05</v>
      </c>
      <c r="L100">
        <v>0.94</v>
      </c>
      <c r="M100">
        <v>0.59</v>
      </c>
      <c r="N100" s="11">
        <f t="shared" si="8"/>
        <v>-3.8966666666666665</v>
      </c>
      <c r="O100" s="11">
        <f t="shared" si="9"/>
        <v>0.57333333333333336</v>
      </c>
      <c r="P100" s="11">
        <f t="shared" si="10"/>
        <v>1.1466666666666667</v>
      </c>
      <c r="Q100" s="11">
        <f t="shared" si="11"/>
        <v>0.66666666666666663</v>
      </c>
    </row>
    <row r="101" spans="1:17" x14ac:dyDescent="0.25">
      <c r="A101">
        <v>2000</v>
      </c>
      <c r="B101">
        <v>0.15</v>
      </c>
      <c r="C101">
        <v>1.26</v>
      </c>
      <c r="D101">
        <v>-0.47</v>
      </c>
      <c r="E101">
        <v>-0.59</v>
      </c>
      <c r="F101">
        <v>-1.27</v>
      </c>
      <c r="G101">
        <v>1</v>
      </c>
      <c r="H101">
        <v>1.48</v>
      </c>
      <c r="I101">
        <v>1.1000000000000001</v>
      </c>
      <c r="J101">
        <v>2.0699999999999998</v>
      </c>
      <c r="K101">
        <v>3.02</v>
      </c>
      <c r="L101">
        <v>3</v>
      </c>
      <c r="M101">
        <v>2.93</v>
      </c>
      <c r="N101" s="11">
        <f t="shared" si="8"/>
        <v>-0.77666666666666673</v>
      </c>
      <c r="O101" s="11">
        <f t="shared" si="9"/>
        <v>1.1933333333333334</v>
      </c>
      <c r="P101" s="11">
        <f t="shared" si="10"/>
        <v>2.6966666666666668</v>
      </c>
      <c r="Q101" s="11">
        <f t="shared" si="11"/>
        <v>3.59</v>
      </c>
    </row>
    <row r="102" spans="1:17" x14ac:dyDescent="0.25">
      <c r="A102">
        <v>2001</v>
      </c>
      <c r="B102">
        <v>4.1500000000000004</v>
      </c>
      <c r="C102">
        <v>3.69</v>
      </c>
      <c r="D102">
        <v>3.38</v>
      </c>
      <c r="E102">
        <v>2.14</v>
      </c>
      <c r="F102">
        <v>3.03</v>
      </c>
      <c r="G102">
        <v>3.43</v>
      </c>
      <c r="H102">
        <v>4.78</v>
      </c>
      <c r="I102">
        <v>-0.1</v>
      </c>
      <c r="J102">
        <v>-0.27</v>
      </c>
      <c r="K102">
        <v>-0.51</v>
      </c>
      <c r="L102">
        <v>-0.70999990000000002</v>
      </c>
      <c r="M102">
        <v>-1.56</v>
      </c>
      <c r="N102" s="11">
        <f t="shared" si="8"/>
        <v>2.8499999999999996</v>
      </c>
      <c r="O102" s="11">
        <f t="shared" si="9"/>
        <v>2.7033333333333336</v>
      </c>
      <c r="P102" s="11">
        <f t="shared" si="10"/>
        <v>-0.49666663333333333</v>
      </c>
      <c r="Q102" s="11">
        <f t="shared" si="11"/>
        <v>-1.26666667</v>
      </c>
    </row>
    <row r="103" spans="1:17" x14ac:dyDescent="0.25">
      <c r="A103">
        <v>2002</v>
      </c>
      <c r="B103">
        <v>-2.19</v>
      </c>
      <c r="C103">
        <v>-5.0000009999999998E-2</v>
      </c>
      <c r="D103">
        <v>0.64</v>
      </c>
      <c r="E103">
        <v>0.75</v>
      </c>
      <c r="F103">
        <v>1.46</v>
      </c>
      <c r="G103">
        <v>-0.19</v>
      </c>
      <c r="H103">
        <v>-0.9300001</v>
      </c>
      <c r="I103">
        <v>0.13</v>
      </c>
      <c r="J103">
        <v>1.02</v>
      </c>
      <c r="K103">
        <v>2.88</v>
      </c>
      <c r="L103">
        <v>3.8099989999999999</v>
      </c>
      <c r="M103">
        <v>3.63</v>
      </c>
      <c r="N103" s="11">
        <f t="shared" si="8"/>
        <v>0.95000000000000007</v>
      </c>
      <c r="O103" s="11">
        <f t="shared" si="9"/>
        <v>-0.33000003333333333</v>
      </c>
      <c r="P103" s="11">
        <f t="shared" si="10"/>
        <v>2.5699996666666665</v>
      </c>
      <c r="Q103" s="11">
        <f t="shared" si="11"/>
        <v>2.2033333333333336</v>
      </c>
    </row>
    <row r="104" spans="1:17" x14ac:dyDescent="0.25">
      <c r="A104">
        <v>2003</v>
      </c>
      <c r="B104">
        <v>3.29</v>
      </c>
      <c r="C104">
        <v>-0.31</v>
      </c>
      <c r="D104">
        <v>-0.58999990000000002</v>
      </c>
      <c r="E104">
        <v>-0.92000009999999999</v>
      </c>
      <c r="F104">
        <v>-1.75</v>
      </c>
      <c r="G104">
        <v>0.51</v>
      </c>
      <c r="H104">
        <v>-0.34</v>
      </c>
      <c r="I104">
        <v>-0.70999990000000002</v>
      </c>
      <c r="J104">
        <v>0.2</v>
      </c>
      <c r="K104">
        <v>0.1</v>
      </c>
      <c r="L104">
        <v>0.59</v>
      </c>
      <c r="M104">
        <v>1.0900000000000001</v>
      </c>
      <c r="N104" s="11">
        <f t="shared" si="8"/>
        <v>-1.0866666666666667</v>
      </c>
      <c r="O104" s="11">
        <f t="shared" si="9"/>
        <v>-0.17999996666666665</v>
      </c>
      <c r="P104" s="11">
        <f t="shared" si="10"/>
        <v>0.29666666666666669</v>
      </c>
      <c r="Q104" s="11">
        <f t="shared" si="11"/>
        <v>0.1466666666666667</v>
      </c>
    </row>
    <row r="105" spans="1:17" x14ac:dyDescent="0.25">
      <c r="A105">
        <v>2004</v>
      </c>
      <c r="B105">
        <v>-0.14000000000000001</v>
      </c>
      <c r="C105">
        <v>-0.51</v>
      </c>
      <c r="D105">
        <v>-0.61</v>
      </c>
      <c r="E105">
        <v>1.64</v>
      </c>
      <c r="F105">
        <v>0.76</v>
      </c>
      <c r="G105">
        <v>2.5499999999999998</v>
      </c>
      <c r="H105">
        <v>2.64</v>
      </c>
      <c r="I105">
        <v>1.65</v>
      </c>
      <c r="J105">
        <v>1.37</v>
      </c>
      <c r="K105">
        <v>2.09</v>
      </c>
      <c r="L105">
        <v>2.08</v>
      </c>
      <c r="M105">
        <v>1.95</v>
      </c>
      <c r="N105" s="11">
        <f t="shared" si="8"/>
        <v>0.59666666666666657</v>
      </c>
      <c r="O105" s="11">
        <f t="shared" si="9"/>
        <v>2.2799999999999998</v>
      </c>
      <c r="P105" s="11">
        <f t="shared" si="10"/>
        <v>1.8466666666666667</v>
      </c>
      <c r="Q105" s="11">
        <f t="shared" si="11"/>
        <v>1.5199999999999998</v>
      </c>
    </row>
    <row r="106" spans="1:17" x14ac:dyDescent="0.25">
      <c r="A106">
        <v>2005</v>
      </c>
      <c r="B106">
        <v>1.65</v>
      </c>
      <c r="C106">
        <v>0.96</v>
      </c>
      <c r="D106">
        <v>1.53</v>
      </c>
      <c r="E106">
        <v>0.63</v>
      </c>
      <c r="F106">
        <v>1.81</v>
      </c>
      <c r="G106">
        <v>2.5</v>
      </c>
      <c r="H106">
        <v>1.79</v>
      </c>
      <c r="I106">
        <v>1.85</v>
      </c>
      <c r="J106">
        <v>0.88999989999999995</v>
      </c>
      <c r="K106">
        <v>0.79</v>
      </c>
      <c r="L106">
        <v>2</v>
      </c>
      <c r="M106">
        <v>1.7</v>
      </c>
      <c r="N106" s="11">
        <f t="shared" si="8"/>
        <v>1.3233333333333335</v>
      </c>
      <c r="O106" s="11">
        <f t="shared" si="9"/>
        <v>2.0466666666666669</v>
      </c>
      <c r="P106" s="11">
        <f t="shared" si="10"/>
        <v>1.2266666333333334</v>
      </c>
      <c r="Q106" s="11">
        <f t="shared" si="11"/>
        <v>2.56</v>
      </c>
    </row>
    <row r="107" spans="1:17" x14ac:dyDescent="0.25">
      <c r="A107">
        <v>2006</v>
      </c>
      <c r="B107">
        <v>2.98</v>
      </c>
      <c r="C107">
        <v>3</v>
      </c>
      <c r="D107">
        <v>2.78</v>
      </c>
      <c r="E107">
        <v>2.83</v>
      </c>
      <c r="F107">
        <v>1.85</v>
      </c>
      <c r="G107">
        <v>2.11</v>
      </c>
      <c r="H107">
        <v>3.05</v>
      </c>
      <c r="I107">
        <v>2.4700000000000002</v>
      </c>
      <c r="J107">
        <v>2.3199999999999998</v>
      </c>
      <c r="K107">
        <v>2.48</v>
      </c>
      <c r="L107">
        <v>2.04</v>
      </c>
      <c r="M107">
        <v>3.05</v>
      </c>
      <c r="N107" s="11">
        <f t="shared" si="8"/>
        <v>2.4866666666666664</v>
      </c>
      <c r="O107" s="11">
        <f t="shared" si="9"/>
        <v>2.5433333333333334</v>
      </c>
      <c r="P107" s="11">
        <f t="shared" si="10"/>
        <v>2.2799999999999998</v>
      </c>
      <c r="Q107" s="11">
        <f t="shared" si="11"/>
        <v>2.92</v>
      </c>
    </row>
    <row r="108" spans="1:17" x14ac:dyDescent="0.25">
      <c r="A108">
        <v>2007</v>
      </c>
      <c r="B108">
        <v>2.93</v>
      </c>
      <c r="C108">
        <v>2.78</v>
      </c>
      <c r="D108">
        <v>2.29</v>
      </c>
      <c r="E108">
        <v>2.23</v>
      </c>
      <c r="F108">
        <v>-0.91</v>
      </c>
      <c r="G108">
        <v>-1.59</v>
      </c>
      <c r="H108">
        <v>-1.67</v>
      </c>
      <c r="I108">
        <v>-1.91</v>
      </c>
      <c r="J108">
        <v>0.3</v>
      </c>
      <c r="K108">
        <v>0.8</v>
      </c>
      <c r="L108">
        <v>-0.22</v>
      </c>
      <c r="M108">
        <v>-0.39</v>
      </c>
      <c r="N108" s="11">
        <f t="shared" si="8"/>
        <v>1.2033333333333331</v>
      </c>
      <c r="O108" s="11">
        <f t="shared" si="9"/>
        <v>-1.7233333333333334</v>
      </c>
      <c r="P108" s="11">
        <f t="shared" si="10"/>
        <v>0.29333333333333339</v>
      </c>
      <c r="Q108" s="11">
        <f t="shared" si="11"/>
        <v>-0.51666663333333329</v>
      </c>
    </row>
    <row r="109" spans="1:17" x14ac:dyDescent="0.25">
      <c r="A109">
        <v>2008</v>
      </c>
      <c r="B109">
        <v>-0.32</v>
      </c>
      <c r="C109">
        <v>-0.83999990000000002</v>
      </c>
      <c r="D109">
        <v>-1.4</v>
      </c>
      <c r="E109">
        <v>-1.64</v>
      </c>
      <c r="F109">
        <v>0.67</v>
      </c>
      <c r="G109">
        <v>0.3</v>
      </c>
      <c r="H109">
        <v>0.98000010000000004</v>
      </c>
      <c r="I109">
        <v>2.0699999999999998</v>
      </c>
      <c r="J109">
        <v>-0.94</v>
      </c>
      <c r="K109">
        <v>-1.41</v>
      </c>
      <c r="L109">
        <v>-1.48</v>
      </c>
      <c r="M109">
        <v>-1.99</v>
      </c>
      <c r="N109" s="11">
        <f t="shared" si="8"/>
        <v>-0.79</v>
      </c>
      <c r="O109" s="11">
        <f t="shared" si="9"/>
        <v>1.1166666999999999</v>
      </c>
      <c r="P109" s="11">
        <f t="shared" si="10"/>
        <v>-1.2766666666666666</v>
      </c>
      <c r="Q109" s="11">
        <f t="shared" si="11"/>
        <v>-2.46</v>
      </c>
    </row>
    <row r="110" spans="1:17" x14ac:dyDescent="0.25">
      <c r="A110">
        <v>2009</v>
      </c>
      <c r="B110">
        <v>-2.65</v>
      </c>
      <c r="C110">
        <v>-2.74</v>
      </c>
      <c r="D110">
        <v>-2.94</v>
      </c>
      <c r="E110">
        <v>-0.06</v>
      </c>
      <c r="F110">
        <v>0.77999989999999997</v>
      </c>
      <c r="G110">
        <v>-0.21</v>
      </c>
      <c r="H110">
        <v>-0.97</v>
      </c>
      <c r="I110">
        <v>1.1599999999999999</v>
      </c>
      <c r="J110">
        <v>0.27</v>
      </c>
      <c r="K110">
        <v>1.71</v>
      </c>
      <c r="L110">
        <v>2.54</v>
      </c>
      <c r="M110">
        <v>2.91</v>
      </c>
      <c r="N110" s="11">
        <f t="shared" si="8"/>
        <v>-0.74000003333333331</v>
      </c>
      <c r="O110" s="11">
        <f t="shared" si="9"/>
        <v>-6.6666666666666723E-3</v>
      </c>
      <c r="P110" s="11">
        <f t="shared" si="10"/>
        <v>1.5066666666666666</v>
      </c>
      <c r="Q110" s="11">
        <f t="shared" si="11"/>
        <v>3.0266666666666668</v>
      </c>
    </row>
    <row r="111" spans="1:17" x14ac:dyDescent="0.25">
      <c r="A111">
        <v>2010</v>
      </c>
      <c r="B111">
        <v>2.9</v>
      </c>
      <c r="C111">
        <v>3.27</v>
      </c>
      <c r="D111">
        <v>-0.02</v>
      </c>
      <c r="E111">
        <v>-0.67</v>
      </c>
      <c r="F111">
        <v>-1.47</v>
      </c>
      <c r="G111">
        <v>-1.26</v>
      </c>
      <c r="H111">
        <v>-1.49</v>
      </c>
      <c r="I111">
        <v>-1.34</v>
      </c>
      <c r="J111">
        <v>-1.86</v>
      </c>
      <c r="K111">
        <v>-1.97</v>
      </c>
      <c r="L111">
        <v>-1.95</v>
      </c>
      <c r="M111">
        <v>-1.74</v>
      </c>
      <c r="N111" s="11">
        <f t="shared" si="8"/>
        <v>-0.72000000000000008</v>
      </c>
      <c r="O111" s="11">
        <f t="shared" si="9"/>
        <v>-1.3633333333333333</v>
      </c>
      <c r="P111" s="11">
        <f t="shared" si="10"/>
        <v>-1.9266666666666667</v>
      </c>
      <c r="Q111" s="11">
        <f t="shared" si="11"/>
        <v>-1.736666666666667</v>
      </c>
    </row>
    <row r="112" spans="1:17" x14ac:dyDescent="0.25">
      <c r="A112">
        <v>2011</v>
      </c>
      <c r="B112">
        <v>-1.62</v>
      </c>
      <c r="C112">
        <v>-1.85</v>
      </c>
      <c r="D112">
        <v>-1.42</v>
      </c>
      <c r="E112">
        <v>-1.1499999999999999</v>
      </c>
      <c r="F112">
        <v>-1.67</v>
      </c>
      <c r="G112">
        <v>-2.16</v>
      </c>
      <c r="H112">
        <v>-2.4</v>
      </c>
      <c r="I112">
        <v>-2.19</v>
      </c>
      <c r="J112">
        <v>-1.63</v>
      </c>
      <c r="K112">
        <v>-1.81</v>
      </c>
      <c r="L112">
        <v>-1.82</v>
      </c>
      <c r="M112">
        <v>-2.29</v>
      </c>
      <c r="N112" s="11">
        <f t="shared" si="8"/>
        <v>-1.4133333333333333</v>
      </c>
      <c r="O112" s="11">
        <f t="shared" si="9"/>
        <v>-2.25</v>
      </c>
      <c r="P112" s="11">
        <f t="shared" si="10"/>
        <v>-1.7533333333333332</v>
      </c>
      <c r="Q112" s="11">
        <f t="shared" si="11"/>
        <v>-1.1666666666666667</v>
      </c>
    </row>
    <row r="113" spans="1:17" x14ac:dyDescent="0.25">
      <c r="A113">
        <v>2012</v>
      </c>
      <c r="B113">
        <v>-2.2200000000000002</v>
      </c>
      <c r="C113">
        <v>1.01</v>
      </c>
      <c r="D113">
        <v>-0.61</v>
      </c>
      <c r="E113">
        <v>-1.27</v>
      </c>
      <c r="F113">
        <v>-1.2</v>
      </c>
      <c r="G113">
        <v>-0.87</v>
      </c>
      <c r="H113">
        <v>-1.17</v>
      </c>
      <c r="I113">
        <v>-1.35</v>
      </c>
      <c r="J113">
        <v>-1.59</v>
      </c>
      <c r="K113">
        <v>-1.87</v>
      </c>
      <c r="L113">
        <v>-2.25</v>
      </c>
      <c r="M113">
        <v>1.06</v>
      </c>
      <c r="N113" s="11">
        <f t="shared" si="8"/>
        <v>-1.0266666666666666</v>
      </c>
      <c r="O113" s="11">
        <f t="shared" si="9"/>
        <v>-1.1300000000000001</v>
      </c>
      <c r="P113" s="11">
        <f t="shared" si="10"/>
        <v>-1.9033333333333333</v>
      </c>
      <c r="Q113" s="11">
        <f t="shared" si="11"/>
        <v>0.8433333666666667</v>
      </c>
    </row>
    <row r="114" spans="1:17" x14ac:dyDescent="0.25">
      <c r="A114">
        <v>2013</v>
      </c>
      <c r="B114">
        <v>0.54</v>
      </c>
      <c r="C114">
        <v>0.9300001</v>
      </c>
      <c r="D114">
        <v>-0.21</v>
      </c>
      <c r="E114">
        <v>-0.45</v>
      </c>
      <c r="F114">
        <v>-0.55000000000000004</v>
      </c>
      <c r="G114">
        <v>-1.2</v>
      </c>
      <c r="H114">
        <v>-1.45</v>
      </c>
      <c r="I114">
        <v>0.27</v>
      </c>
      <c r="J114">
        <v>0.66</v>
      </c>
      <c r="K114">
        <v>-0.63</v>
      </c>
      <c r="L114">
        <v>-0.91</v>
      </c>
      <c r="M114">
        <v>-1.56</v>
      </c>
      <c r="N114" s="11">
        <f t="shared" si="8"/>
        <v>-0.40333333333333332</v>
      </c>
      <c r="O114" s="11">
        <f t="shared" si="9"/>
        <v>-0.79333333333333333</v>
      </c>
      <c r="P114" s="11">
        <f t="shared" si="10"/>
        <v>-0.29333333333333333</v>
      </c>
      <c r="Q114" s="11">
        <f t="shared" si="11"/>
        <v>-1.5966666666666667</v>
      </c>
    </row>
    <row r="115" spans="1:17" x14ac:dyDescent="0.25">
      <c r="A115">
        <v>2014</v>
      </c>
      <c r="B115">
        <v>-1.5</v>
      </c>
      <c r="C115">
        <v>-1.73</v>
      </c>
      <c r="D115">
        <v>-1.6</v>
      </c>
      <c r="E115">
        <v>-1.36</v>
      </c>
      <c r="F115">
        <v>-1.38</v>
      </c>
      <c r="G115">
        <v>-1.44</v>
      </c>
      <c r="H115">
        <v>-1.33</v>
      </c>
      <c r="I115">
        <v>-1.42</v>
      </c>
      <c r="J115">
        <v>-1.01</v>
      </c>
      <c r="K115">
        <v>-0.95</v>
      </c>
      <c r="L115">
        <v>-0.87</v>
      </c>
      <c r="M115">
        <v>-1.1499999999999999</v>
      </c>
      <c r="N115" s="11">
        <f t="shared" si="8"/>
        <v>-1.4466666666666665</v>
      </c>
      <c r="O115" s="11">
        <f t="shared" si="9"/>
        <v>-1.3966666666666665</v>
      </c>
      <c r="P115" s="11">
        <f t="shared" si="10"/>
        <v>-0.94333333333333336</v>
      </c>
      <c r="Q115" s="11">
        <f t="shared" si="11"/>
        <v>-1.6533333333333333</v>
      </c>
    </row>
    <row r="116" spans="1:17" x14ac:dyDescent="0.25">
      <c r="A116">
        <v>2015</v>
      </c>
      <c r="B116">
        <v>-1.69</v>
      </c>
      <c r="C116">
        <v>-2.12</v>
      </c>
      <c r="D116">
        <v>-2.61</v>
      </c>
      <c r="E116">
        <v>-2.72</v>
      </c>
      <c r="F116">
        <v>0.14000000000000001</v>
      </c>
      <c r="G116">
        <v>0.26</v>
      </c>
      <c r="H116">
        <v>0.79</v>
      </c>
      <c r="I116">
        <v>1.46</v>
      </c>
      <c r="J116">
        <v>-0.32</v>
      </c>
      <c r="K116">
        <v>-0.68</v>
      </c>
      <c r="L116">
        <v>-0.83</v>
      </c>
      <c r="M116">
        <v>-1.05</v>
      </c>
      <c r="N116" s="11">
        <f t="shared" si="8"/>
        <v>-1.7300000000000002</v>
      </c>
      <c r="O116" s="11">
        <f t="shared" si="9"/>
        <v>0.83666666666666656</v>
      </c>
      <c r="P116" s="11">
        <f t="shared" si="10"/>
        <v>-0.61</v>
      </c>
      <c r="Q116" s="11">
        <f t="shared" si="11"/>
        <v>-1.3866666666666667</v>
      </c>
    </row>
    <row r="117" spans="1:17" x14ac:dyDescent="0.25">
      <c r="A117">
        <v>2016</v>
      </c>
      <c r="B117">
        <v>-1.52</v>
      </c>
      <c r="C117">
        <v>-1.59</v>
      </c>
      <c r="D117">
        <v>-2.17</v>
      </c>
      <c r="E117">
        <v>-2.15</v>
      </c>
      <c r="F117">
        <v>-2.6</v>
      </c>
      <c r="G117">
        <v>-3.71</v>
      </c>
      <c r="H117">
        <v>-4.25</v>
      </c>
      <c r="I117">
        <v>-4.3099999999999996</v>
      </c>
      <c r="J117">
        <v>-4.55</v>
      </c>
      <c r="K117">
        <v>-3.59</v>
      </c>
      <c r="L117">
        <v>-3.37</v>
      </c>
      <c r="M117">
        <v>-3.21</v>
      </c>
      <c r="N117" s="11">
        <f t="shared" si="8"/>
        <v>-2.3066666666666666</v>
      </c>
      <c r="O117" s="11">
        <f t="shared" si="9"/>
        <v>-4.09</v>
      </c>
      <c r="P117" s="11">
        <f t="shared" si="10"/>
        <v>-3.8366666666666673</v>
      </c>
      <c r="Q117" s="11">
        <f t="shared" si="11"/>
        <v>-2.8000000000000003</v>
      </c>
    </row>
    <row r="118" spans="1:17" x14ac:dyDescent="0.25">
      <c r="A118">
        <v>2017</v>
      </c>
      <c r="B118">
        <v>-2.94</v>
      </c>
      <c r="C118">
        <v>-2.25</v>
      </c>
      <c r="D118">
        <v>-2.2000000000000002</v>
      </c>
      <c r="E118">
        <v>-2.2000000000000002</v>
      </c>
      <c r="F118">
        <v>-2.44</v>
      </c>
      <c r="G118">
        <v>-2.4700000000000002</v>
      </c>
      <c r="H118">
        <v>-2.88</v>
      </c>
      <c r="I118">
        <v>0.81</v>
      </c>
      <c r="J118">
        <v>0.22</v>
      </c>
      <c r="K118">
        <v>0.92</v>
      </c>
      <c r="L118">
        <v>0.66000009999999998</v>
      </c>
      <c r="M118">
        <v>0.83</v>
      </c>
      <c r="N118" s="11">
        <f t="shared" si="8"/>
        <v>-2.2799999999999998</v>
      </c>
      <c r="O118" s="11">
        <f t="shared" si="9"/>
        <v>-1.513333333333333</v>
      </c>
      <c r="P118" s="11">
        <f t="shared" si="10"/>
        <v>0.6000000333333334</v>
      </c>
      <c r="Q118" s="11">
        <f t="shared" si="11"/>
        <v>0.62333336666666661</v>
      </c>
    </row>
    <row r="119" spans="1:17" x14ac:dyDescent="0.25">
      <c r="A119">
        <v>2018</v>
      </c>
      <c r="B119">
        <v>0.69000010000000001</v>
      </c>
      <c r="C119">
        <v>0.35</v>
      </c>
      <c r="D119">
        <v>0.63</v>
      </c>
      <c r="E119">
        <v>0.92</v>
      </c>
      <c r="F119">
        <v>-0.67</v>
      </c>
      <c r="G119">
        <v>-1.1000000000000001</v>
      </c>
      <c r="H119">
        <v>-1.67</v>
      </c>
      <c r="I119">
        <v>-1.85</v>
      </c>
      <c r="J119">
        <v>0.52</v>
      </c>
      <c r="K119">
        <v>0.73</v>
      </c>
      <c r="L119">
        <v>1.39</v>
      </c>
      <c r="M119">
        <v>-0.13</v>
      </c>
      <c r="N119" s="11">
        <f t="shared" si="8"/>
        <v>0.29333333333333333</v>
      </c>
      <c r="O119" s="11">
        <f t="shared" si="9"/>
        <v>-1.54</v>
      </c>
      <c r="P119" s="11">
        <f t="shared" si="10"/>
        <v>0.87999999999999989</v>
      </c>
      <c r="Q119" s="11">
        <f t="shared" si="11"/>
        <v>-0.56999999999999995</v>
      </c>
    </row>
    <row r="120" spans="1:17" x14ac:dyDescent="0.25">
      <c r="A120">
        <v>2019</v>
      </c>
      <c r="B120">
        <v>-0.52</v>
      </c>
      <c r="C120">
        <v>-1.06</v>
      </c>
      <c r="D120">
        <v>-1.52</v>
      </c>
      <c r="E120">
        <v>-1.97</v>
      </c>
      <c r="F120">
        <v>-2.15</v>
      </c>
      <c r="G120">
        <v>-2.1800000000000002</v>
      </c>
      <c r="H120">
        <v>-1.9</v>
      </c>
      <c r="I120">
        <v>-2.13</v>
      </c>
      <c r="J120">
        <v>-2.5499999999999998</v>
      </c>
      <c r="K120">
        <v>-2.59</v>
      </c>
      <c r="L120">
        <v>-2.48</v>
      </c>
      <c r="M120">
        <v>-2.79</v>
      </c>
      <c r="N120">
        <f t="shared" si="8"/>
        <v>-1.8800000000000001</v>
      </c>
      <c r="O120">
        <f t="shared" si="9"/>
        <v>-2.0699999999999998</v>
      </c>
      <c r="P120">
        <f t="shared" si="10"/>
        <v>-2.5399999999999996</v>
      </c>
      <c r="Q120">
        <f t="shared" si="11"/>
        <v>-2.7733333333333334</v>
      </c>
    </row>
    <row r="121" spans="1:17" x14ac:dyDescent="0.25">
      <c r="A121">
        <v>2020</v>
      </c>
      <c r="B121">
        <v>-2.75</v>
      </c>
      <c r="C121">
        <v>-2.78</v>
      </c>
      <c r="D121">
        <v>-3.15</v>
      </c>
      <c r="E121">
        <v>-3.26</v>
      </c>
      <c r="F121">
        <v>-3.24</v>
      </c>
      <c r="G121">
        <v>-3.09</v>
      </c>
      <c r="H121">
        <v>-2.5</v>
      </c>
      <c r="I121">
        <v>-2.78</v>
      </c>
      <c r="J121">
        <v>-3.09</v>
      </c>
      <c r="K121">
        <v>-3.33</v>
      </c>
      <c r="L121">
        <v>-3.6</v>
      </c>
      <c r="M121">
        <v>-3.77</v>
      </c>
      <c r="N121">
        <f t="shared" si="8"/>
        <v>-3.2166666666666668</v>
      </c>
      <c r="O121">
        <f t="shared" si="9"/>
        <v>-2.7899999999999996</v>
      </c>
      <c r="P121">
        <f t="shared" si="10"/>
        <v>-3.34</v>
      </c>
      <c r="Q121" t="str">
        <f t="shared" si="11"/>
        <v/>
      </c>
    </row>
    <row r="122" spans="1:17" x14ac:dyDescent="0.25">
      <c r="A122">
        <v>2021</v>
      </c>
      <c r="N122" t="str">
        <f t="shared" si="8"/>
        <v/>
      </c>
      <c r="O122" t="str">
        <f t="shared" si="9"/>
        <v/>
      </c>
      <c r="P122" t="str">
        <f t="shared" si="10"/>
        <v/>
      </c>
      <c r="Q122" t="str">
        <f t="shared" si="11"/>
        <v/>
      </c>
    </row>
    <row r="123" spans="1:17" x14ac:dyDescent="0.25">
      <c r="A123">
        <v>2022</v>
      </c>
      <c r="N123" t="str">
        <f>IF(AND(ISNUMBER(D123),ISNUMBER(E123),ISNUMBER(F123)),AVERAGE(D123:F123),"")</f>
        <v/>
      </c>
      <c r="O123" t="str">
        <f>IF(AND(ISNUMBER(G123),ISNUMBER(H123),ISNUMBER(I123)),AVERAGE(G123:I123),"")</f>
        <v/>
      </c>
      <c r="P123" t="str">
        <f>IF(AND(ISNUMBER(J123),ISNUMBER(K123),ISNUMBER(L123)),AVERAGE(J123:L123),"")</f>
        <v/>
      </c>
      <c r="Q123" t="str">
        <f>IF(AND(ISNUMBER(M123),ISNUMBER(B124),ISNUMBER(C124)),AVERAGE(M123,B124:C124),"")</f>
        <v/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87FBA-3B89-46FD-8DCE-370DE134B001}">
  <dimension ref="A1:Q123"/>
  <sheetViews>
    <sheetView zoomScale="70" zoomScaleNormal="70" workbookViewId="0"/>
  </sheetViews>
  <sheetFormatPr defaultColWidth="11" defaultRowHeight="15" x14ac:dyDescent="0.25"/>
  <cols>
    <col min="2" max="4" width="5" bestFit="1" customWidth="1"/>
    <col min="5" max="5" width="4" bestFit="1" customWidth="1"/>
    <col min="6" max="6" width="4.5703125" bestFit="1" customWidth="1"/>
    <col min="7" max="7" width="4" bestFit="1" customWidth="1"/>
    <col min="8" max="8" width="5" bestFit="1" customWidth="1"/>
    <col min="9" max="10" width="4" bestFit="1" customWidth="1"/>
    <col min="11" max="13" width="5" bestFit="1" customWidth="1"/>
    <col min="14" max="17" width="12" bestFit="1" customWidth="1"/>
  </cols>
  <sheetData>
    <row r="1" spans="1:17" x14ac:dyDescent="0.25">
      <c r="A1" s="1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</row>
    <row r="3" spans="1:17" x14ac:dyDescent="0.25">
      <c r="A3">
        <v>1902</v>
      </c>
      <c r="B3">
        <v>-0.7803329</v>
      </c>
      <c r="C3">
        <v>0.55843739999999997</v>
      </c>
      <c r="D3">
        <v>1.423476</v>
      </c>
      <c r="E3">
        <v>0.7154836</v>
      </c>
      <c r="F3">
        <v>1.719376</v>
      </c>
      <c r="G3">
        <v>0.37797730000000002</v>
      </c>
      <c r="H3">
        <v>-0.16870879999999999</v>
      </c>
      <c r="I3">
        <v>0.62344180000000005</v>
      </c>
      <c r="J3">
        <v>-0.62711879999999998</v>
      </c>
      <c r="K3">
        <v>-0.4611285</v>
      </c>
      <c r="L3">
        <v>0.26045689999999999</v>
      </c>
      <c r="M3">
        <v>-0.47943590000000003</v>
      </c>
      <c r="N3" s="11">
        <f t="shared" ref="N3:N31" si="0">IF(AND(ISNUMBER(D3),ISNUMBER(E3),ISNUMBER(F3)),AVERAGE(D3:F3),"")</f>
        <v>1.2861118666666667</v>
      </c>
      <c r="O3" s="11">
        <f t="shared" ref="O3:O31" si="1">IF(AND(ISNUMBER(G3),ISNUMBER(H3),ISNUMBER(I3)),AVERAGE(G3:I3),"")</f>
        <v>0.27757009999999999</v>
      </c>
      <c r="P3" s="11">
        <f t="shared" ref="P3:P31" si="2">IF(AND(ISNUMBER(J3),ISNUMBER(K3),ISNUMBER(L3)),AVERAGE(J3:L3),"")</f>
        <v>-0.27593013333333333</v>
      </c>
      <c r="Q3" s="11">
        <f t="shared" ref="Q3:Q31" si="3">IF(AND(ISNUMBER(M3),ISNUMBER(B4),ISNUMBER(C4)),AVERAGE(M3,B4:C4),"")</f>
        <v>-0.26373486666666668</v>
      </c>
    </row>
    <row r="4" spans="1:17" x14ac:dyDescent="0.25">
      <c r="A4">
        <v>1903</v>
      </c>
      <c r="B4">
        <v>-0.17939740000000001</v>
      </c>
      <c r="C4">
        <v>-0.1323713</v>
      </c>
      <c r="D4">
        <v>0.32726519999999998</v>
      </c>
      <c r="E4">
        <v>-0.37352679999999999</v>
      </c>
      <c r="F4">
        <v>-0.89696779999999998</v>
      </c>
      <c r="G4">
        <v>0.51795270000000004</v>
      </c>
      <c r="H4">
        <v>-1.20428</v>
      </c>
      <c r="I4">
        <v>-0.1852539</v>
      </c>
      <c r="J4">
        <v>-0.47499590000000003</v>
      </c>
      <c r="K4">
        <v>0.2283954</v>
      </c>
      <c r="L4">
        <v>-0.36583149999999998</v>
      </c>
      <c r="M4">
        <v>0.42718929999999999</v>
      </c>
      <c r="N4" s="11">
        <f t="shared" si="0"/>
        <v>-0.31440980000000002</v>
      </c>
      <c r="O4" s="11">
        <f t="shared" si="1"/>
        <v>-0.29052706666666667</v>
      </c>
      <c r="P4" s="11">
        <f t="shared" si="2"/>
        <v>-0.20414399999999999</v>
      </c>
      <c r="Q4" s="11">
        <f t="shared" si="3"/>
        <v>0.13948346666666667</v>
      </c>
    </row>
    <row r="5" spans="1:17" x14ac:dyDescent="0.25">
      <c r="A5">
        <v>1904</v>
      </c>
      <c r="B5">
        <v>0.3000237</v>
      </c>
      <c r="C5">
        <v>-0.3087626</v>
      </c>
      <c r="D5">
        <v>-0.4057017</v>
      </c>
      <c r="E5">
        <v>-0.1946426</v>
      </c>
      <c r="F5">
        <v>0.1088543</v>
      </c>
      <c r="G5">
        <v>0.26969799999999999</v>
      </c>
      <c r="H5">
        <v>1.48448</v>
      </c>
      <c r="I5">
        <v>-0.44177110000000003</v>
      </c>
      <c r="J5">
        <v>1.1469119999999999</v>
      </c>
      <c r="K5">
        <v>0.30471819999999999</v>
      </c>
      <c r="L5">
        <v>3.265419E-2</v>
      </c>
      <c r="M5">
        <v>-3.3005449999999999E-2</v>
      </c>
      <c r="N5" s="11">
        <f t="shared" si="0"/>
        <v>-0.16382999999999998</v>
      </c>
      <c r="O5" s="11">
        <f t="shared" si="1"/>
        <v>0.43746896666666668</v>
      </c>
      <c r="P5" s="11">
        <f t="shared" si="2"/>
        <v>0.49476146333333326</v>
      </c>
      <c r="Q5" s="11">
        <f t="shared" si="3"/>
        <v>-0.48607101666666663</v>
      </c>
    </row>
    <row r="6" spans="1:17" x14ac:dyDescent="0.25">
      <c r="A6">
        <v>1905</v>
      </c>
      <c r="B6">
        <v>-0.76813500000000001</v>
      </c>
      <c r="C6">
        <v>-0.65707260000000001</v>
      </c>
      <c r="D6">
        <v>0.49283900000000003</v>
      </c>
      <c r="E6">
        <v>-0.3448968</v>
      </c>
      <c r="F6">
        <v>-0.1836576</v>
      </c>
      <c r="G6">
        <v>-9.7536089999999999E-3</v>
      </c>
      <c r="H6">
        <v>-0.58194230000000002</v>
      </c>
      <c r="I6">
        <v>1.2663979999999999</v>
      </c>
      <c r="J6">
        <v>0.45090010000000003</v>
      </c>
      <c r="K6">
        <v>1.7239739999999999</v>
      </c>
      <c r="L6">
        <v>-1.0774459999999999</v>
      </c>
      <c r="M6">
        <v>-0.1744366</v>
      </c>
      <c r="N6" s="11">
        <f t="shared" si="0"/>
        <v>-1.1905133333333326E-2</v>
      </c>
      <c r="O6" s="11">
        <f t="shared" si="1"/>
        <v>0.22490069699999996</v>
      </c>
      <c r="P6" s="11">
        <f t="shared" si="2"/>
        <v>0.36580936666666664</v>
      </c>
      <c r="Q6" s="11">
        <f t="shared" si="3"/>
        <v>-4.7848566666666668E-2</v>
      </c>
    </row>
    <row r="7" spans="1:17" x14ac:dyDescent="0.25">
      <c r="A7">
        <v>1906</v>
      </c>
      <c r="B7">
        <v>-0.127525</v>
      </c>
      <c r="C7">
        <v>0.1584159</v>
      </c>
      <c r="D7">
        <v>1.149392</v>
      </c>
      <c r="E7">
        <v>0.56056459999999997</v>
      </c>
      <c r="F7">
        <v>0.1252781</v>
      </c>
      <c r="G7">
        <v>-1.11351</v>
      </c>
      <c r="H7">
        <v>-0.48768499999999998</v>
      </c>
      <c r="I7">
        <v>-1.1481920000000001</v>
      </c>
      <c r="J7">
        <v>-0.43853350000000002</v>
      </c>
      <c r="K7">
        <v>-1.127111</v>
      </c>
      <c r="L7">
        <v>-1.751949</v>
      </c>
      <c r="M7">
        <v>-0.32335520000000001</v>
      </c>
      <c r="N7" s="11">
        <f t="shared" si="0"/>
        <v>0.61174490000000004</v>
      </c>
      <c r="O7" s="11">
        <f t="shared" si="1"/>
        <v>-0.91646233333333338</v>
      </c>
      <c r="P7" s="11">
        <f t="shared" si="2"/>
        <v>-1.1058645</v>
      </c>
      <c r="Q7" s="11">
        <f t="shared" si="3"/>
        <v>-0.31921233000000004</v>
      </c>
    </row>
    <row r="8" spans="1:17" x14ac:dyDescent="0.25">
      <c r="A8">
        <v>1907</v>
      </c>
      <c r="B8">
        <v>-0.53986140000000005</v>
      </c>
      <c r="C8">
        <v>-9.4420390000000007E-2</v>
      </c>
      <c r="D8">
        <v>0.2157444</v>
      </c>
      <c r="E8">
        <v>-0.1359089</v>
      </c>
      <c r="F8">
        <v>-0.63605310000000004</v>
      </c>
      <c r="G8">
        <v>0.98210169999999997</v>
      </c>
      <c r="H8">
        <v>-0.55943670000000001</v>
      </c>
      <c r="I8">
        <v>-0.7172596</v>
      </c>
      <c r="J8">
        <v>0.93041910000000005</v>
      </c>
      <c r="K8">
        <v>0.37341629999999998</v>
      </c>
      <c r="L8">
        <v>-0.66336240000000002</v>
      </c>
      <c r="M8">
        <v>0.71856220000000004</v>
      </c>
      <c r="N8" s="11">
        <f t="shared" si="0"/>
        <v>-0.1854058666666667</v>
      </c>
      <c r="O8" s="11">
        <f t="shared" si="1"/>
        <v>-9.8198200000000013E-2</v>
      </c>
      <c r="P8" s="11">
        <f t="shared" si="2"/>
        <v>0.21349100000000001</v>
      </c>
      <c r="Q8" s="11">
        <f t="shared" si="3"/>
        <v>-0.22672526666666662</v>
      </c>
    </row>
    <row r="9" spans="1:17" x14ac:dyDescent="0.25">
      <c r="A9">
        <v>1908</v>
      </c>
      <c r="B9">
        <v>-0.88174129999999995</v>
      </c>
      <c r="C9">
        <v>-0.51699669999999998</v>
      </c>
      <c r="D9">
        <v>-1.1615</v>
      </c>
      <c r="E9">
        <v>0.34969600000000001</v>
      </c>
      <c r="F9">
        <v>-0.95081470000000001</v>
      </c>
      <c r="G9">
        <v>-1.2132179999999999</v>
      </c>
      <c r="H9">
        <v>-1.661408</v>
      </c>
      <c r="I9">
        <v>-0.68552069999999998</v>
      </c>
      <c r="J9">
        <v>-0.80804260000000006</v>
      </c>
      <c r="K9">
        <v>0.19250929999999999</v>
      </c>
      <c r="L9">
        <v>-0.20970720000000001</v>
      </c>
      <c r="M9">
        <v>-0.4059256</v>
      </c>
      <c r="N9" s="11">
        <f t="shared" si="0"/>
        <v>-0.58753956666666662</v>
      </c>
      <c r="O9" s="11">
        <f t="shared" si="1"/>
        <v>-1.1867155666666667</v>
      </c>
      <c r="P9" s="11">
        <f t="shared" si="2"/>
        <v>-0.27508016666666668</v>
      </c>
      <c r="Q9" s="11">
        <f t="shared" si="3"/>
        <v>-0.58077820000000002</v>
      </c>
    </row>
    <row r="10" spans="1:17" x14ac:dyDescent="0.25">
      <c r="A10">
        <v>1909</v>
      </c>
      <c r="B10">
        <v>-0.75186280000000005</v>
      </c>
      <c r="C10">
        <v>-0.58454620000000002</v>
      </c>
      <c r="D10">
        <v>-1.648595</v>
      </c>
      <c r="E10">
        <v>-0.60487990000000003</v>
      </c>
      <c r="F10">
        <v>-1.1362989999999999</v>
      </c>
      <c r="G10">
        <v>-1.140525</v>
      </c>
      <c r="H10">
        <v>-1.100795</v>
      </c>
      <c r="I10">
        <v>1.3006470000000001</v>
      </c>
      <c r="J10">
        <v>-1.737636</v>
      </c>
      <c r="K10">
        <v>0.38751550000000001</v>
      </c>
      <c r="L10">
        <v>-0.44363950000000002</v>
      </c>
      <c r="M10">
        <v>-7.3402049999999996E-2</v>
      </c>
      <c r="N10" s="11">
        <f t="shared" si="0"/>
        <v>-1.1299246333333333</v>
      </c>
      <c r="O10" s="11">
        <f t="shared" si="1"/>
        <v>-0.31355766666666662</v>
      </c>
      <c r="P10" s="11">
        <f t="shared" si="2"/>
        <v>-0.59792000000000001</v>
      </c>
      <c r="Q10" s="11">
        <f t="shared" si="3"/>
        <v>0.54519038333333336</v>
      </c>
    </row>
    <row r="11" spans="1:17" x14ac:dyDescent="0.25">
      <c r="A11">
        <v>1910</v>
      </c>
      <c r="B11">
        <v>0.77473380000000003</v>
      </c>
      <c r="C11">
        <v>0.93423940000000005</v>
      </c>
      <c r="D11">
        <v>-1.336206</v>
      </c>
      <c r="E11">
        <v>-0.31919950000000002</v>
      </c>
      <c r="F11">
        <v>-0.95281939999999998</v>
      </c>
      <c r="G11">
        <v>1.603566</v>
      </c>
      <c r="H11">
        <v>-0.1487098</v>
      </c>
      <c r="I11">
        <v>1.1220410000000001</v>
      </c>
      <c r="J11">
        <v>-1.681152</v>
      </c>
      <c r="K11">
        <v>-1.3771850000000001</v>
      </c>
      <c r="L11">
        <v>-0.54957</v>
      </c>
      <c r="M11">
        <v>-1.0524089999999999</v>
      </c>
      <c r="N11" s="11">
        <f t="shared" si="0"/>
        <v>-0.86940830000000002</v>
      </c>
      <c r="O11" s="11">
        <f t="shared" si="1"/>
        <v>0.85896573333333348</v>
      </c>
      <c r="P11" s="11">
        <f t="shared" si="2"/>
        <v>-1.2026356666666667</v>
      </c>
      <c r="Q11" s="11">
        <f t="shared" si="3"/>
        <v>-0.20793702</v>
      </c>
    </row>
    <row r="12" spans="1:17" x14ac:dyDescent="0.25">
      <c r="A12">
        <v>1911</v>
      </c>
      <c r="B12">
        <v>0.39873130000000001</v>
      </c>
      <c r="C12">
        <v>2.986664E-2</v>
      </c>
      <c r="D12">
        <v>-0.97987809999999997</v>
      </c>
      <c r="E12">
        <v>1.3907130000000001</v>
      </c>
      <c r="F12">
        <v>0.34531519999999999</v>
      </c>
      <c r="G12">
        <v>-1.899762</v>
      </c>
      <c r="H12">
        <v>-1.123632</v>
      </c>
      <c r="I12">
        <v>-0.42668830000000002</v>
      </c>
      <c r="J12">
        <v>-0.1181459</v>
      </c>
      <c r="K12">
        <v>-1.0641259999999999</v>
      </c>
      <c r="L12">
        <v>0.47260180000000002</v>
      </c>
      <c r="M12">
        <v>-7.6525319999999994E-2</v>
      </c>
      <c r="N12" s="11">
        <f t="shared" si="0"/>
        <v>0.25205003333333337</v>
      </c>
      <c r="O12" s="11">
        <f t="shared" si="1"/>
        <v>-1.1500274333333331</v>
      </c>
      <c r="P12" s="11">
        <f t="shared" si="2"/>
        <v>-0.23655669999999995</v>
      </c>
      <c r="Q12" s="11">
        <f t="shared" si="3"/>
        <v>0.19122452666666664</v>
      </c>
    </row>
    <row r="13" spans="1:17" x14ac:dyDescent="0.25">
      <c r="A13">
        <v>1912</v>
      </c>
      <c r="B13">
        <v>-0.56433610000000001</v>
      </c>
      <c r="C13">
        <v>1.2145349999999999</v>
      </c>
      <c r="D13">
        <v>-0.50358440000000004</v>
      </c>
      <c r="E13">
        <v>0.78967140000000002</v>
      </c>
      <c r="F13">
        <v>3.1288440000000001E-2</v>
      </c>
      <c r="G13">
        <v>-0.26728079999999999</v>
      </c>
      <c r="H13">
        <v>-1.24685</v>
      </c>
      <c r="I13">
        <v>-0.2030352</v>
      </c>
      <c r="J13">
        <v>-1.751053</v>
      </c>
      <c r="K13">
        <v>-9.2673489999999997E-2</v>
      </c>
      <c r="L13">
        <v>0.49537720000000002</v>
      </c>
      <c r="M13">
        <v>-0.2354456</v>
      </c>
      <c r="N13" s="11">
        <f t="shared" si="0"/>
        <v>0.10579181333333332</v>
      </c>
      <c r="O13" s="11">
        <f t="shared" si="1"/>
        <v>-0.57238866666666666</v>
      </c>
      <c r="P13" s="11">
        <f t="shared" si="2"/>
        <v>-0.44944976333333325</v>
      </c>
      <c r="Q13" s="11">
        <f t="shared" si="3"/>
        <v>-0.44859640000000001</v>
      </c>
    </row>
    <row r="14" spans="1:17" x14ac:dyDescent="0.25">
      <c r="A14">
        <v>1913</v>
      </c>
      <c r="B14">
        <v>-0.91408339999999999</v>
      </c>
      <c r="C14">
        <v>-0.1962602</v>
      </c>
      <c r="D14">
        <v>8.0785270000000006E-2</v>
      </c>
      <c r="E14">
        <v>1.863019</v>
      </c>
      <c r="F14">
        <v>0.91482240000000004</v>
      </c>
      <c r="G14">
        <v>-0.991394</v>
      </c>
      <c r="H14">
        <v>1.33538</v>
      </c>
      <c r="I14">
        <v>-7.6961440000000006E-2</v>
      </c>
      <c r="J14">
        <v>0.42690889999999998</v>
      </c>
      <c r="K14">
        <v>-0.41587730000000001</v>
      </c>
      <c r="L14">
        <v>-1.8427979999999999</v>
      </c>
      <c r="M14">
        <v>-0.46601510000000002</v>
      </c>
      <c r="N14" s="11">
        <f t="shared" si="0"/>
        <v>0.95287555666666668</v>
      </c>
      <c r="O14" s="11">
        <f t="shared" si="1"/>
        <v>8.9008186666666669E-2</v>
      </c>
      <c r="P14" s="11">
        <f t="shared" si="2"/>
        <v>-0.61058880000000004</v>
      </c>
      <c r="Q14" s="11">
        <f t="shared" si="3"/>
        <v>-0.20564823333333335</v>
      </c>
    </row>
    <row r="15" spans="1:17" x14ac:dyDescent="0.25">
      <c r="A15">
        <v>1914</v>
      </c>
      <c r="B15">
        <v>0.93416940000000004</v>
      </c>
      <c r="C15">
        <v>-1.085099</v>
      </c>
      <c r="D15">
        <v>-0.68765379999999998</v>
      </c>
      <c r="E15">
        <v>-0.86778120000000003</v>
      </c>
      <c r="F15">
        <v>0.2682484</v>
      </c>
      <c r="G15">
        <v>1.323518</v>
      </c>
      <c r="H15">
        <v>0.20077039999999999</v>
      </c>
      <c r="I15">
        <v>-0.26413049999999999</v>
      </c>
      <c r="J15">
        <v>1.028789</v>
      </c>
      <c r="K15">
        <v>-0.64502669999999995</v>
      </c>
      <c r="L15">
        <v>1.6947650000000001</v>
      </c>
      <c r="M15">
        <v>-0.1585049</v>
      </c>
      <c r="N15" s="11">
        <f t="shared" si="0"/>
        <v>-0.4290622</v>
      </c>
      <c r="O15" s="11">
        <f t="shared" si="1"/>
        <v>0.42005263333333326</v>
      </c>
      <c r="P15" s="11">
        <f t="shared" si="2"/>
        <v>0.6928424333333334</v>
      </c>
      <c r="Q15" s="11">
        <f t="shared" si="3"/>
        <v>-1.4597333333333351E-2</v>
      </c>
    </row>
    <row r="16" spans="1:17" x14ac:dyDescent="0.25">
      <c r="A16">
        <v>1915</v>
      </c>
      <c r="B16">
        <v>-0.40545560000000003</v>
      </c>
      <c r="C16">
        <v>0.52016850000000003</v>
      </c>
      <c r="D16">
        <v>-7.946976E-2</v>
      </c>
      <c r="E16">
        <v>1.9371350000000001</v>
      </c>
      <c r="F16">
        <v>1.581245</v>
      </c>
      <c r="G16">
        <v>0.21259359999999999</v>
      </c>
      <c r="H16">
        <v>1.676112</v>
      </c>
      <c r="I16">
        <v>0.3945843</v>
      </c>
      <c r="J16">
        <v>-0.20268240000000001</v>
      </c>
      <c r="K16">
        <v>0.249137</v>
      </c>
      <c r="L16">
        <v>-1.340558E-2</v>
      </c>
      <c r="M16">
        <v>-0.1204852</v>
      </c>
      <c r="N16" s="11">
        <f t="shared" si="0"/>
        <v>1.1463034133333334</v>
      </c>
      <c r="O16" s="11">
        <f t="shared" si="1"/>
        <v>0.76109663333333322</v>
      </c>
      <c r="P16" s="11">
        <f t="shared" si="2"/>
        <v>1.1016339999999994E-2</v>
      </c>
      <c r="Q16" s="11">
        <f t="shared" si="3"/>
        <v>-6.2274366666666657E-2</v>
      </c>
    </row>
    <row r="17" spans="1:17" x14ac:dyDescent="0.25">
      <c r="A17">
        <v>1916</v>
      </c>
      <c r="B17">
        <v>0.45963860000000001</v>
      </c>
      <c r="C17">
        <v>-0.52597649999999996</v>
      </c>
      <c r="D17">
        <v>1.3551420000000001</v>
      </c>
      <c r="E17">
        <v>-7.4939270000000002E-2</v>
      </c>
      <c r="F17">
        <v>0.46740880000000001</v>
      </c>
      <c r="G17">
        <v>-1.607048</v>
      </c>
      <c r="H17">
        <v>-0.71613450000000001</v>
      </c>
      <c r="I17">
        <v>0.12922449999999999</v>
      </c>
      <c r="J17">
        <v>0.42690889999999998</v>
      </c>
      <c r="K17">
        <v>-1.36968</v>
      </c>
      <c r="L17">
        <v>0.7301301</v>
      </c>
      <c r="M17">
        <v>0.83229909999999996</v>
      </c>
      <c r="N17" s="11">
        <f t="shared" si="0"/>
        <v>0.58253717666666671</v>
      </c>
      <c r="O17" s="11">
        <f t="shared" si="1"/>
        <v>-0.73131933333333343</v>
      </c>
      <c r="P17" s="11">
        <f t="shared" si="2"/>
        <v>-7.0880333333333365E-2</v>
      </c>
      <c r="Q17" s="11">
        <f t="shared" si="3"/>
        <v>0.50513796666666666</v>
      </c>
    </row>
    <row r="18" spans="1:17" x14ac:dyDescent="0.25">
      <c r="A18">
        <v>1917</v>
      </c>
      <c r="B18">
        <v>0.35150130000000002</v>
      </c>
      <c r="C18">
        <v>0.33161350000000001</v>
      </c>
      <c r="D18">
        <v>-0.3482943</v>
      </c>
      <c r="E18">
        <v>-1.1420840000000001</v>
      </c>
      <c r="F18">
        <v>-1.557518</v>
      </c>
      <c r="G18">
        <v>0.79104169999999996</v>
      </c>
      <c r="H18">
        <v>-1.0688169999999999</v>
      </c>
      <c r="I18">
        <v>-0.29321789999999998</v>
      </c>
      <c r="J18">
        <v>0.91428909999999997</v>
      </c>
      <c r="K18">
        <v>-0.7855413</v>
      </c>
      <c r="L18">
        <v>-0.96130349999999998</v>
      </c>
      <c r="M18">
        <v>0.2440782</v>
      </c>
      <c r="N18" s="11">
        <f t="shared" si="0"/>
        <v>-1.0159654333333334</v>
      </c>
      <c r="O18" s="11">
        <f t="shared" si="1"/>
        <v>-0.19033106666666666</v>
      </c>
      <c r="P18" s="11">
        <f t="shared" si="2"/>
        <v>-0.27751856666666669</v>
      </c>
      <c r="Q18" s="11">
        <f t="shared" si="3"/>
        <v>-9.7641166666666668E-2</v>
      </c>
    </row>
    <row r="19" spans="1:17" x14ac:dyDescent="0.25">
      <c r="A19">
        <v>1918</v>
      </c>
      <c r="B19">
        <v>0.72930629999999996</v>
      </c>
      <c r="C19">
        <v>-1.266308</v>
      </c>
      <c r="D19">
        <v>1.3645389999999999</v>
      </c>
      <c r="E19">
        <v>0.94977920000000005</v>
      </c>
      <c r="F19">
        <v>1.4952240000000001</v>
      </c>
      <c r="G19">
        <v>-0.49695850000000003</v>
      </c>
      <c r="H19">
        <v>-2.1850809999999998E-2</v>
      </c>
      <c r="I19">
        <v>0.15161369999999999</v>
      </c>
      <c r="J19">
        <v>0.25934590000000002</v>
      </c>
      <c r="K19">
        <v>-1.8490019999999999E-2</v>
      </c>
      <c r="L19">
        <v>1.436102</v>
      </c>
      <c r="M19">
        <v>0.24121509999999999</v>
      </c>
      <c r="N19" s="11">
        <f t="shared" si="0"/>
        <v>1.2698474</v>
      </c>
      <c r="O19" s="11">
        <f t="shared" si="1"/>
        <v>-0.12239853666666667</v>
      </c>
      <c r="P19" s="11">
        <f t="shared" si="2"/>
        <v>0.55898596</v>
      </c>
      <c r="Q19" s="11">
        <f t="shared" si="3"/>
        <v>1.6984533333333312E-2</v>
      </c>
    </row>
    <row r="20" spans="1:17" x14ac:dyDescent="0.25">
      <c r="A20">
        <v>1919</v>
      </c>
      <c r="B20">
        <v>-0.79658870000000004</v>
      </c>
      <c r="C20">
        <v>0.60632719999999996</v>
      </c>
      <c r="D20">
        <v>1.1281019999999999</v>
      </c>
      <c r="E20">
        <v>0.78967120000000002</v>
      </c>
      <c r="F20">
        <v>1.451972</v>
      </c>
      <c r="G20">
        <v>-0.62852450000000004</v>
      </c>
      <c r="H20">
        <v>0.14489009999999999</v>
      </c>
      <c r="I20">
        <v>-0.28228520000000001</v>
      </c>
      <c r="J20">
        <v>2.661854E-2</v>
      </c>
      <c r="K20">
        <v>-0.65576400000000001</v>
      </c>
      <c r="L20">
        <v>1.2128289999999999</v>
      </c>
      <c r="M20">
        <v>-2.9914130000000001E-2</v>
      </c>
      <c r="N20" s="11">
        <f t="shared" si="0"/>
        <v>1.1232484</v>
      </c>
      <c r="O20" s="11">
        <f t="shared" si="1"/>
        <v>-0.25530653333333336</v>
      </c>
      <c r="P20" s="11">
        <f t="shared" si="2"/>
        <v>0.19456117999999997</v>
      </c>
      <c r="Q20" s="11">
        <f t="shared" si="3"/>
        <v>-0.51419651</v>
      </c>
    </row>
    <row r="21" spans="1:17" x14ac:dyDescent="0.25">
      <c r="A21">
        <v>1920</v>
      </c>
      <c r="B21">
        <v>-0.54801909999999998</v>
      </c>
      <c r="C21">
        <v>-0.96465630000000002</v>
      </c>
      <c r="D21">
        <v>1.573863</v>
      </c>
      <c r="E21">
        <v>0.52046879999999995</v>
      </c>
      <c r="F21">
        <v>1.640936</v>
      </c>
      <c r="G21">
        <v>-0.40550180000000002</v>
      </c>
      <c r="H21">
        <v>-0.67833929999999998</v>
      </c>
      <c r="I21">
        <v>-0.215533</v>
      </c>
      <c r="J21">
        <v>0.51716070000000003</v>
      </c>
      <c r="K21">
        <v>0.75755850000000002</v>
      </c>
      <c r="L21">
        <v>1.259382</v>
      </c>
      <c r="M21">
        <v>0.32874399999999998</v>
      </c>
      <c r="N21" s="11">
        <f t="shared" si="0"/>
        <v>1.2450892666666666</v>
      </c>
      <c r="O21" s="11">
        <f t="shared" si="1"/>
        <v>-0.43312469999999997</v>
      </c>
      <c r="P21" s="11">
        <f t="shared" si="2"/>
        <v>0.84470040000000013</v>
      </c>
      <c r="Q21" s="11">
        <f t="shared" si="3"/>
        <v>0.8011879666666667</v>
      </c>
    </row>
    <row r="22" spans="1:17" x14ac:dyDescent="0.25">
      <c r="A22">
        <v>1921</v>
      </c>
      <c r="B22">
        <v>1.2120200000000001</v>
      </c>
      <c r="C22">
        <v>0.86279989999999995</v>
      </c>
      <c r="D22">
        <v>-0.58417079999999999</v>
      </c>
      <c r="E22">
        <v>1.7151670000000001</v>
      </c>
      <c r="F22">
        <v>0.92270339999999995</v>
      </c>
      <c r="G22">
        <v>2.5354430000000001E-2</v>
      </c>
      <c r="H22">
        <v>-1.5241629999999999</v>
      </c>
      <c r="I22">
        <v>1.7913589999999999</v>
      </c>
      <c r="J22">
        <v>-0.44974429999999999</v>
      </c>
      <c r="K22">
        <v>1.01625E-2</v>
      </c>
      <c r="L22">
        <v>-1.855891</v>
      </c>
      <c r="M22">
        <v>1.830856</v>
      </c>
      <c r="N22" s="11">
        <f t="shared" si="0"/>
        <v>0.68456653333333339</v>
      </c>
      <c r="O22" s="11">
        <f t="shared" si="1"/>
        <v>9.7516809999999968E-2</v>
      </c>
      <c r="P22" s="11">
        <f t="shared" si="2"/>
        <v>-0.76515759999999988</v>
      </c>
      <c r="Q22" s="11">
        <f t="shared" si="3"/>
        <v>0.6081534666666667</v>
      </c>
    </row>
    <row r="23" spans="1:17" x14ac:dyDescent="0.25">
      <c r="A23">
        <v>1922</v>
      </c>
      <c r="B23">
        <v>0.31110719999999997</v>
      </c>
      <c r="C23">
        <v>-0.31750279999999997</v>
      </c>
      <c r="D23">
        <v>1.526958</v>
      </c>
      <c r="E23">
        <v>-1.1885559999999999</v>
      </c>
      <c r="F23">
        <v>-1.0683229999999999</v>
      </c>
      <c r="G23">
        <v>0.4398357</v>
      </c>
      <c r="H23">
        <v>2.3314650000000001</v>
      </c>
      <c r="I23">
        <v>0.89835489999999996</v>
      </c>
      <c r="J23">
        <v>-0.68928579999999995</v>
      </c>
      <c r="K23">
        <v>-0.14177609999999999</v>
      </c>
      <c r="L23">
        <v>-0.91539890000000002</v>
      </c>
      <c r="M23">
        <v>-1.4492420000000001E-2</v>
      </c>
      <c r="N23" s="11">
        <f t="shared" si="0"/>
        <v>-0.24330699999999994</v>
      </c>
      <c r="O23" s="11">
        <f t="shared" si="1"/>
        <v>1.2232185333333334</v>
      </c>
      <c r="P23" s="11">
        <f t="shared" si="2"/>
        <v>-0.58215359999999994</v>
      </c>
      <c r="Q23" s="11">
        <f t="shared" si="3"/>
        <v>0.26625789333333333</v>
      </c>
    </row>
    <row r="24" spans="1:17" x14ac:dyDescent="0.25">
      <c r="A24">
        <v>1923</v>
      </c>
      <c r="B24">
        <v>0.2479314</v>
      </c>
      <c r="C24">
        <v>0.56533469999999997</v>
      </c>
      <c r="D24">
        <v>2.039342</v>
      </c>
      <c r="E24">
        <v>-0.56125060000000004</v>
      </c>
      <c r="F24">
        <v>-0.91684750000000004</v>
      </c>
      <c r="G24">
        <v>-1.0077240000000001</v>
      </c>
      <c r="H24">
        <v>-0.74035770000000001</v>
      </c>
      <c r="I24">
        <v>2.289853E-2</v>
      </c>
      <c r="J24">
        <v>1.3943289999999999</v>
      </c>
      <c r="K24">
        <v>0.93916330000000003</v>
      </c>
      <c r="L24">
        <v>0.13143260000000001</v>
      </c>
      <c r="M24">
        <v>0.4935155</v>
      </c>
      <c r="N24" s="11">
        <f t="shared" si="0"/>
        <v>0.18708129999999992</v>
      </c>
      <c r="O24" s="11">
        <f t="shared" si="1"/>
        <v>-0.57506105666666674</v>
      </c>
      <c r="P24" s="11">
        <f t="shared" si="2"/>
        <v>0.8216416333333334</v>
      </c>
      <c r="Q24" s="11">
        <f t="shared" si="3"/>
        <v>0.27887883333333335</v>
      </c>
    </row>
    <row r="25" spans="1:17" x14ac:dyDescent="0.25">
      <c r="A25">
        <v>1924</v>
      </c>
      <c r="B25">
        <v>-1.436177</v>
      </c>
      <c r="C25">
        <v>1.779298</v>
      </c>
      <c r="D25">
        <v>1.6210389999999999</v>
      </c>
      <c r="E25">
        <v>0.42643900000000001</v>
      </c>
      <c r="F25">
        <v>-0.81624790000000003</v>
      </c>
      <c r="G25">
        <v>1.3931089999999999</v>
      </c>
      <c r="H25">
        <v>0.77872370000000002</v>
      </c>
      <c r="I25">
        <v>-1.581367</v>
      </c>
      <c r="J25">
        <v>-0.83913219999999999</v>
      </c>
      <c r="K25">
        <v>-0.61645810000000001</v>
      </c>
      <c r="L25">
        <v>-0.40715040000000002</v>
      </c>
      <c r="M25">
        <v>-0.42256559999999999</v>
      </c>
      <c r="N25" s="11">
        <f t="shared" si="0"/>
        <v>0.41041003333333331</v>
      </c>
      <c r="O25" s="11">
        <f t="shared" si="1"/>
        <v>0.19682189999999999</v>
      </c>
      <c r="P25" s="11">
        <f t="shared" si="2"/>
        <v>-0.62091356666666664</v>
      </c>
      <c r="Q25" s="11">
        <f t="shared" si="3"/>
        <v>0.15636836666666667</v>
      </c>
    </row>
    <row r="26" spans="1:17" x14ac:dyDescent="0.25">
      <c r="A26">
        <v>1925</v>
      </c>
      <c r="B26">
        <v>0.134353</v>
      </c>
      <c r="C26">
        <v>0.75731769999999998</v>
      </c>
      <c r="D26">
        <v>-0.89699969999999996</v>
      </c>
      <c r="E26">
        <v>0.93162100000000003</v>
      </c>
      <c r="F26">
        <v>-0.82406690000000005</v>
      </c>
      <c r="G26">
        <v>0.42802240000000003</v>
      </c>
      <c r="H26">
        <v>-0.83898539999999999</v>
      </c>
      <c r="I26">
        <v>1.2295240000000001</v>
      </c>
      <c r="J26">
        <v>0.6026222</v>
      </c>
      <c r="K26">
        <v>-1.0197959999999999</v>
      </c>
      <c r="L26">
        <v>0.86231239999999998</v>
      </c>
      <c r="M26">
        <v>0.21533169999999999</v>
      </c>
      <c r="N26" s="11">
        <f t="shared" si="0"/>
        <v>-0.26314853333333332</v>
      </c>
      <c r="O26" s="11">
        <f t="shared" si="1"/>
        <v>0.27285366666666672</v>
      </c>
      <c r="P26" s="11">
        <f t="shared" si="2"/>
        <v>0.14837953333333334</v>
      </c>
      <c r="Q26" s="11">
        <f t="shared" si="3"/>
        <v>0.34258760000000005</v>
      </c>
    </row>
    <row r="27" spans="1:17" x14ac:dyDescent="0.25">
      <c r="A27">
        <v>1926</v>
      </c>
      <c r="B27">
        <v>0.66984589999999999</v>
      </c>
      <c r="C27">
        <v>0.1425852</v>
      </c>
      <c r="D27">
        <v>1.5404990000000001</v>
      </c>
      <c r="E27">
        <v>1.2620950000000001E-2</v>
      </c>
      <c r="F27">
        <v>-0.95281939999999998</v>
      </c>
      <c r="G27">
        <v>-0.1056496</v>
      </c>
      <c r="H27">
        <v>-0.48619469999999998</v>
      </c>
      <c r="I27">
        <v>-0.64805109999999999</v>
      </c>
      <c r="J27">
        <v>-0.65819419999999995</v>
      </c>
      <c r="K27">
        <v>-0.37783860000000002</v>
      </c>
      <c r="L27">
        <v>1.8862509999999999</v>
      </c>
      <c r="M27">
        <v>0.35367949999999998</v>
      </c>
      <c r="N27" s="11">
        <f t="shared" si="0"/>
        <v>0.20010018333333338</v>
      </c>
      <c r="O27" s="11">
        <f t="shared" si="1"/>
        <v>-0.41329846666666664</v>
      </c>
      <c r="P27" s="11">
        <f t="shared" si="2"/>
        <v>0.28340606666666662</v>
      </c>
      <c r="Q27" s="11">
        <f t="shared" si="3"/>
        <v>0.40247729999999998</v>
      </c>
    </row>
    <row r="28" spans="1:17" x14ac:dyDescent="0.25">
      <c r="A28">
        <v>1927</v>
      </c>
      <c r="B28">
        <v>0.1838852</v>
      </c>
      <c r="C28">
        <v>0.6698672</v>
      </c>
      <c r="D28">
        <v>-0.49629329999999999</v>
      </c>
      <c r="E28">
        <v>0.81321069999999995</v>
      </c>
      <c r="F28">
        <v>-0.37026409999999998</v>
      </c>
      <c r="G28">
        <v>-1.1540140000000001</v>
      </c>
      <c r="H28">
        <v>-0.25515769999999999</v>
      </c>
      <c r="I28">
        <v>0.14842659999999999</v>
      </c>
      <c r="J28">
        <v>1.4704120000000001</v>
      </c>
      <c r="K28">
        <v>-1.060427</v>
      </c>
      <c r="L28">
        <v>-0.69082750000000004</v>
      </c>
      <c r="M28">
        <v>-0.2483814</v>
      </c>
      <c r="N28" s="11">
        <f t="shared" si="0"/>
        <v>-1.7782233333333342E-2</v>
      </c>
      <c r="O28" s="11">
        <f t="shared" si="1"/>
        <v>-0.42024836666666671</v>
      </c>
      <c r="P28" s="11">
        <f t="shared" si="2"/>
        <v>-9.3614166666666665E-2</v>
      </c>
      <c r="Q28" s="11">
        <f t="shared" si="3"/>
        <v>0.43315986666666667</v>
      </c>
    </row>
    <row r="29" spans="1:17" x14ac:dyDescent="0.25">
      <c r="A29">
        <v>1928</v>
      </c>
      <c r="B29">
        <v>0.82577179999999994</v>
      </c>
      <c r="C29">
        <v>0.72208919999999999</v>
      </c>
      <c r="D29">
        <v>0.4899676</v>
      </c>
      <c r="E29">
        <v>0.81107989999999996</v>
      </c>
      <c r="F29">
        <v>-0.98298079999999999</v>
      </c>
      <c r="G29">
        <v>-0.60245590000000004</v>
      </c>
      <c r="H29">
        <v>0.9140066</v>
      </c>
      <c r="I29">
        <v>-0.53713290000000002</v>
      </c>
      <c r="J29">
        <v>-1.384277</v>
      </c>
      <c r="K29">
        <v>-0.46462219999999999</v>
      </c>
      <c r="L29">
        <v>0.46878170000000002</v>
      </c>
      <c r="M29">
        <v>1.691578</v>
      </c>
      <c r="N29" s="11">
        <f t="shared" si="0"/>
        <v>0.10602223333333331</v>
      </c>
      <c r="O29" s="11">
        <f t="shared" si="1"/>
        <v>-7.5194066666666684E-2</v>
      </c>
      <c r="P29" s="11">
        <f t="shared" si="2"/>
        <v>-0.46003916666666661</v>
      </c>
      <c r="Q29" s="11">
        <f t="shared" si="3"/>
        <v>1.1503155333333333</v>
      </c>
    </row>
    <row r="30" spans="1:17" x14ac:dyDescent="0.25">
      <c r="A30">
        <v>1929</v>
      </c>
      <c r="B30">
        <v>0.2479316</v>
      </c>
      <c r="C30">
        <v>1.5114369999999999</v>
      </c>
      <c r="D30">
        <v>-0.47082429999999997</v>
      </c>
      <c r="E30">
        <v>-8.3217769999999996E-2</v>
      </c>
      <c r="F30">
        <v>-1.6248830000000001</v>
      </c>
      <c r="G30">
        <v>0.1000508</v>
      </c>
      <c r="H30">
        <v>-0.1730033</v>
      </c>
      <c r="I30">
        <v>7.245646E-2</v>
      </c>
      <c r="J30">
        <v>0.20865220000000001</v>
      </c>
      <c r="K30">
        <v>0.18950020000000001</v>
      </c>
      <c r="L30">
        <v>-0.17535609999999999</v>
      </c>
      <c r="M30">
        <v>1.3869419999999999</v>
      </c>
      <c r="N30" s="11">
        <f t="shared" si="0"/>
        <v>-0.72630835666666671</v>
      </c>
      <c r="O30" s="11">
        <f t="shared" si="1"/>
        <v>-1.6534666666666772E-4</v>
      </c>
      <c r="P30" s="11">
        <f t="shared" si="2"/>
        <v>7.4265433333333339E-2</v>
      </c>
      <c r="Q30" s="11">
        <f t="shared" si="3"/>
        <v>0.13566716666666664</v>
      </c>
    </row>
    <row r="31" spans="1:17" x14ac:dyDescent="0.25">
      <c r="A31">
        <v>1930</v>
      </c>
      <c r="B31">
        <v>-0.72336719999999999</v>
      </c>
      <c r="C31">
        <v>-0.2565733</v>
      </c>
      <c r="D31">
        <v>-0.52914989999999995</v>
      </c>
      <c r="E31">
        <v>1.318025</v>
      </c>
      <c r="F31">
        <v>-1.229188E-2</v>
      </c>
      <c r="G31">
        <v>1.8374740000000001</v>
      </c>
      <c r="H31">
        <v>0.45279409999999998</v>
      </c>
      <c r="I31">
        <v>-0.93774780000000002</v>
      </c>
      <c r="J31">
        <v>-0.78825250000000002</v>
      </c>
      <c r="K31">
        <v>-0.37439230000000001</v>
      </c>
      <c r="L31">
        <v>1.010777</v>
      </c>
      <c r="M31">
        <v>0.80041620000000002</v>
      </c>
      <c r="N31" s="11">
        <f t="shared" si="0"/>
        <v>0.25886107333333336</v>
      </c>
      <c r="O31" s="11">
        <f t="shared" si="1"/>
        <v>0.45084010000000002</v>
      </c>
      <c r="P31" s="11">
        <f t="shared" si="2"/>
        <v>-5.0622599999999997E-2</v>
      </c>
      <c r="Q31" s="11">
        <f t="shared" si="3"/>
        <v>0.51752043333333342</v>
      </c>
    </row>
    <row r="32" spans="1:17" x14ac:dyDescent="0.25">
      <c r="A32">
        <v>1931</v>
      </c>
      <c r="B32">
        <v>1.3683650000000001</v>
      </c>
      <c r="C32">
        <v>-0.61621990000000004</v>
      </c>
      <c r="D32">
        <v>-0.99875119999999995</v>
      </c>
      <c r="E32">
        <v>3.4288819999999998E-2</v>
      </c>
      <c r="F32">
        <v>-0.88309649999999995</v>
      </c>
      <c r="G32">
        <v>-0.47644880000000001</v>
      </c>
      <c r="H32">
        <v>-0.69798420000000005</v>
      </c>
      <c r="I32">
        <v>-1.7341470000000001E-2</v>
      </c>
      <c r="J32">
        <v>-1.0195749999999999</v>
      </c>
      <c r="K32">
        <v>0.57458759999999998</v>
      </c>
      <c r="L32">
        <v>9.1448290000000002E-2</v>
      </c>
      <c r="M32">
        <v>-0.64222029999999997</v>
      </c>
      <c r="N32" s="11">
        <f>IF(AND(ISNUMBER(D32),ISNUMBER(E32),ISNUMBER(F32)),AVERAGE(D32:F32),"")</f>
        <v>-0.61585295999999989</v>
      </c>
      <c r="O32" s="11">
        <f>IF(AND(ISNUMBER(G32),ISNUMBER(H32),ISNUMBER(I32)),AVERAGE(G32:I32),"")</f>
        <v>-0.3972581566666667</v>
      </c>
      <c r="P32" s="11">
        <f>IF(AND(ISNUMBER(J32),ISNUMBER(K32),ISNUMBER(L32)),AVERAGE(J32:L32),"")</f>
        <v>-0.11784636999999998</v>
      </c>
      <c r="Q32" s="11">
        <f>IF(AND(ISNUMBER(M32),ISNUMBER(B33),ISNUMBER(C33)),AVERAGE(M32,B33:C33),"")</f>
        <v>-0.27727790000000002</v>
      </c>
    </row>
    <row r="33" spans="1:17" x14ac:dyDescent="0.25">
      <c r="A33">
        <v>1932</v>
      </c>
      <c r="B33">
        <v>-0.32028000000000001</v>
      </c>
      <c r="C33">
        <v>0.13066659999999999</v>
      </c>
      <c r="D33">
        <v>0.81762639999999998</v>
      </c>
      <c r="E33">
        <v>2.0023909999999998</v>
      </c>
      <c r="F33">
        <v>-1.025488</v>
      </c>
      <c r="G33">
        <v>1.24804</v>
      </c>
      <c r="H33">
        <v>1.5100150000000001</v>
      </c>
      <c r="I33">
        <v>1.0409269999999999</v>
      </c>
      <c r="J33">
        <v>0.14960760000000001</v>
      </c>
      <c r="K33">
        <v>1.4295929999999999</v>
      </c>
      <c r="L33">
        <v>-0.64149149999999999</v>
      </c>
      <c r="M33">
        <v>-0.20645569999999999</v>
      </c>
      <c r="N33" s="11">
        <f t="shared" ref="N33:N96" si="4">IF(AND(ISNUMBER(D33),ISNUMBER(E33),ISNUMBER(F33)),AVERAGE(D33:F33),"")</f>
        <v>0.59817646666666657</v>
      </c>
      <c r="O33" s="11">
        <f t="shared" ref="O33:O96" si="5">IF(AND(ISNUMBER(G33),ISNUMBER(H33),ISNUMBER(I33)),AVERAGE(G33:I33),"")</f>
        <v>1.2663273333333334</v>
      </c>
      <c r="P33" s="11">
        <f t="shared" ref="P33:P96" si="6">IF(AND(ISNUMBER(J33),ISNUMBER(K33),ISNUMBER(L33)),AVERAGE(J33:L33),"")</f>
        <v>0.31256969999999995</v>
      </c>
      <c r="Q33" s="11">
        <f t="shared" ref="Q33:Q96" si="7">IF(AND(ISNUMBER(M33),ISNUMBER(B34),ISNUMBER(C34)),AVERAGE(M33,B34:C34),"")</f>
        <v>0.58390536666666659</v>
      </c>
    </row>
    <row r="34" spans="1:17" x14ac:dyDescent="0.25">
      <c r="A34">
        <v>1933</v>
      </c>
      <c r="B34">
        <v>1.8275049999999999</v>
      </c>
      <c r="C34">
        <v>0.1306668</v>
      </c>
      <c r="D34">
        <v>1.390577</v>
      </c>
      <c r="E34">
        <v>-0.3134981</v>
      </c>
      <c r="F34">
        <v>-0.37026399999999998</v>
      </c>
      <c r="G34">
        <v>0.33575120000000003</v>
      </c>
      <c r="H34">
        <v>-0.92872299999999997</v>
      </c>
      <c r="I34">
        <v>0.2806109</v>
      </c>
      <c r="J34">
        <v>-1.5266930000000001</v>
      </c>
      <c r="K34">
        <v>-0.13848530000000001</v>
      </c>
      <c r="L34">
        <v>0.25626130000000003</v>
      </c>
      <c r="M34">
        <v>0.94656079999999998</v>
      </c>
      <c r="N34" s="11">
        <f t="shared" si="4"/>
        <v>0.23560496666666672</v>
      </c>
      <c r="O34" s="11">
        <f t="shared" si="5"/>
        <v>-0.10412029999999999</v>
      </c>
      <c r="P34" s="11">
        <f t="shared" si="6"/>
        <v>-0.46963899999999997</v>
      </c>
      <c r="Q34" s="11">
        <f t="shared" si="7"/>
        <v>0.46295733333333339</v>
      </c>
    </row>
    <row r="35" spans="1:17" x14ac:dyDescent="0.25">
      <c r="A35">
        <v>1934</v>
      </c>
      <c r="B35">
        <v>-0.16740189999999999</v>
      </c>
      <c r="C35">
        <v>0.60971310000000001</v>
      </c>
      <c r="D35">
        <v>0.96498729999999999</v>
      </c>
      <c r="E35">
        <v>-0.61652859999999998</v>
      </c>
      <c r="F35">
        <v>0.30160930000000002</v>
      </c>
      <c r="G35">
        <v>0.23627129999999999</v>
      </c>
      <c r="H35">
        <v>9.499958E-2</v>
      </c>
      <c r="I35">
        <v>-1.129213</v>
      </c>
      <c r="J35">
        <v>0.85489800000000005</v>
      </c>
      <c r="K35">
        <v>0.41270859999999998</v>
      </c>
      <c r="L35">
        <v>-0.86981589999999998</v>
      </c>
      <c r="M35">
        <v>-0.44927240000000002</v>
      </c>
      <c r="N35" s="11">
        <f t="shared" si="4"/>
        <v>0.21668933333333337</v>
      </c>
      <c r="O35" s="11">
        <f t="shared" si="5"/>
        <v>-0.26598070666666668</v>
      </c>
      <c r="P35" s="11">
        <f t="shared" si="6"/>
        <v>0.13259690000000005</v>
      </c>
      <c r="Q35" s="11">
        <f t="shared" si="7"/>
        <v>7.3786900000000002E-2</v>
      </c>
    </row>
    <row r="36" spans="1:17" x14ac:dyDescent="0.25">
      <c r="A36">
        <v>1935</v>
      </c>
      <c r="B36">
        <v>0.21789749999999999</v>
      </c>
      <c r="C36">
        <v>0.45273560000000002</v>
      </c>
      <c r="D36">
        <v>1.195376</v>
      </c>
      <c r="E36">
        <v>-0.72741469999999997</v>
      </c>
      <c r="F36">
        <v>0.23438439999999999</v>
      </c>
      <c r="G36">
        <v>0.81819269999999999</v>
      </c>
      <c r="H36">
        <v>-1.3409930000000001</v>
      </c>
      <c r="I36">
        <v>-1.4403090000000001</v>
      </c>
      <c r="J36">
        <v>0.31189899999999998</v>
      </c>
      <c r="K36">
        <v>0.9479284</v>
      </c>
      <c r="L36">
        <v>0.94413539999999996</v>
      </c>
      <c r="M36">
        <v>0.43523669999999998</v>
      </c>
      <c r="N36" s="11">
        <f t="shared" si="4"/>
        <v>0.23411523333333331</v>
      </c>
      <c r="O36" s="11">
        <f t="shared" si="5"/>
        <v>-0.65436976666666669</v>
      </c>
      <c r="P36" s="11">
        <f t="shared" si="6"/>
        <v>0.73465426666666678</v>
      </c>
      <c r="Q36" s="11">
        <f t="shared" si="7"/>
        <v>-3.951403333333333E-2</v>
      </c>
    </row>
    <row r="37" spans="1:17" x14ac:dyDescent="0.25">
      <c r="A37">
        <v>1936</v>
      </c>
      <c r="B37">
        <v>0.45252419999999999</v>
      </c>
      <c r="C37">
        <v>-1.0063029999999999</v>
      </c>
      <c r="D37">
        <v>-0.45993319999999999</v>
      </c>
      <c r="E37">
        <v>-4.7428659999999997E-2</v>
      </c>
      <c r="F37">
        <v>0.30574430000000002</v>
      </c>
      <c r="G37">
        <v>-0.39052940000000003</v>
      </c>
      <c r="H37">
        <v>-0.30026130000000001</v>
      </c>
      <c r="I37">
        <v>-0.86616570000000004</v>
      </c>
      <c r="J37">
        <v>-0.21640290000000001</v>
      </c>
      <c r="K37">
        <v>-0.65934570000000003</v>
      </c>
      <c r="L37">
        <v>-1.2974019999999999</v>
      </c>
      <c r="M37">
        <v>1.2129920000000001</v>
      </c>
      <c r="N37" s="11">
        <f t="shared" si="4"/>
        <v>-6.7205853333333301E-2</v>
      </c>
      <c r="O37" s="11">
        <f t="shared" si="5"/>
        <v>-0.51898546666666667</v>
      </c>
      <c r="P37" s="11">
        <f t="shared" si="6"/>
        <v>-0.72438353333333338</v>
      </c>
      <c r="Q37" s="11">
        <f t="shared" si="7"/>
        <v>1.1593119000000001</v>
      </c>
    </row>
    <row r="38" spans="1:17" x14ac:dyDescent="0.25">
      <c r="A38">
        <v>1937</v>
      </c>
      <c r="B38">
        <v>0.66650770000000004</v>
      </c>
      <c r="C38">
        <v>1.598436</v>
      </c>
      <c r="D38">
        <v>7.7510250000000003E-2</v>
      </c>
      <c r="E38">
        <v>-1.1885559999999999</v>
      </c>
      <c r="F38">
        <v>-0.24922920000000001</v>
      </c>
      <c r="G38">
        <v>1.578111</v>
      </c>
      <c r="H38">
        <v>0.15292240000000001</v>
      </c>
      <c r="I38">
        <v>1.0306230000000001</v>
      </c>
      <c r="J38">
        <v>-1.7107669999999999</v>
      </c>
      <c r="K38">
        <v>-1.3321959999999999</v>
      </c>
      <c r="L38">
        <v>0.41064970000000001</v>
      </c>
      <c r="M38">
        <v>-0.69023619999999997</v>
      </c>
      <c r="N38" s="11">
        <f t="shared" si="4"/>
        <v>-0.45342498333333331</v>
      </c>
      <c r="O38" s="11">
        <f t="shared" si="5"/>
        <v>0.92055213333333341</v>
      </c>
      <c r="P38" s="11">
        <f t="shared" si="6"/>
        <v>-0.87743776666666662</v>
      </c>
      <c r="Q38" s="11">
        <f t="shared" si="7"/>
        <v>-0.62986240000000004</v>
      </c>
    </row>
    <row r="39" spans="1:17" x14ac:dyDescent="0.25">
      <c r="A39">
        <v>1938</v>
      </c>
      <c r="B39">
        <v>0.20658599999999999</v>
      </c>
      <c r="C39">
        <v>-1.405937</v>
      </c>
      <c r="D39">
        <v>1.351369</v>
      </c>
      <c r="E39">
        <v>-1.382128</v>
      </c>
      <c r="F39">
        <v>-0.4755431</v>
      </c>
      <c r="G39">
        <v>0.73589859999999996</v>
      </c>
      <c r="H39">
        <v>6.9145570000000003E-2</v>
      </c>
      <c r="I39">
        <v>-0.43045430000000001</v>
      </c>
      <c r="J39">
        <v>0.63883160000000005</v>
      </c>
      <c r="K39">
        <v>0.95447599999999999</v>
      </c>
      <c r="L39">
        <v>0.99938229999999995</v>
      </c>
      <c r="M39">
        <v>-0.64222040000000002</v>
      </c>
      <c r="N39" s="11">
        <f t="shared" si="4"/>
        <v>-0.16876736666666667</v>
      </c>
      <c r="O39" s="11">
        <f t="shared" si="5"/>
        <v>0.12486328999999997</v>
      </c>
      <c r="P39" s="11">
        <f t="shared" si="6"/>
        <v>0.86422996666666663</v>
      </c>
      <c r="Q39" s="11">
        <f t="shared" si="7"/>
        <v>0.63554719999999998</v>
      </c>
    </row>
    <row r="40" spans="1:17" x14ac:dyDescent="0.25">
      <c r="A40">
        <v>1939</v>
      </c>
      <c r="B40">
        <v>1.165637</v>
      </c>
      <c r="C40">
        <v>1.3832249999999999</v>
      </c>
      <c r="D40">
        <v>-1.3019890000000001</v>
      </c>
      <c r="E40">
        <v>-1.037245</v>
      </c>
      <c r="F40">
        <v>1.2779259999999999</v>
      </c>
      <c r="G40">
        <v>0.99568029999999996</v>
      </c>
      <c r="H40">
        <v>-9.3367429999999998E-3</v>
      </c>
      <c r="I40">
        <v>0.95013210000000003</v>
      </c>
      <c r="J40">
        <v>0.70550330000000006</v>
      </c>
      <c r="K40">
        <v>1.328884</v>
      </c>
      <c r="L40">
        <v>-6.0185040000000002E-2</v>
      </c>
      <c r="M40">
        <v>-0.33649309999999999</v>
      </c>
      <c r="N40" s="11">
        <f t="shared" si="4"/>
        <v>-0.35376933333333344</v>
      </c>
      <c r="O40" s="11">
        <f t="shared" si="5"/>
        <v>0.6454918856666666</v>
      </c>
      <c r="P40" s="11">
        <f t="shared" si="6"/>
        <v>0.65806742000000007</v>
      </c>
      <c r="Q40" s="11">
        <f t="shared" si="7"/>
        <v>0.50111066666666659</v>
      </c>
    </row>
    <row r="41" spans="1:17" x14ac:dyDescent="0.25">
      <c r="A41">
        <v>1940</v>
      </c>
      <c r="B41">
        <v>0.72930609999999996</v>
      </c>
      <c r="C41">
        <v>1.110519</v>
      </c>
      <c r="D41">
        <v>-0.56579599999999997</v>
      </c>
      <c r="E41">
        <v>1.6947319999999999</v>
      </c>
      <c r="F41">
        <v>1.719922</v>
      </c>
      <c r="G41">
        <v>1.308473</v>
      </c>
      <c r="H41">
        <v>1.066157</v>
      </c>
      <c r="I41">
        <v>-2.0191810000000001</v>
      </c>
      <c r="J41">
        <v>-0.42733090000000001</v>
      </c>
      <c r="K41">
        <v>0.1744115</v>
      </c>
      <c r="L41">
        <v>0.41064970000000001</v>
      </c>
      <c r="M41">
        <v>1.927921</v>
      </c>
      <c r="N41" s="11">
        <f t="shared" si="4"/>
        <v>0.94961933333333326</v>
      </c>
      <c r="O41" s="11">
        <f t="shared" si="5"/>
        <v>0.11848299999999989</v>
      </c>
      <c r="P41" s="11">
        <f t="shared" si="6"/>
        <v>5.2576766666666663E-2</v>
      </c>
      <c r="Q41" s="11">
        <f t="shared" si="7"/>
        <v>0.5649586333333334</v>
      </c>
    </row>
    <row r="42" spans="1:17" x14ac:dyDescent="0.25">
      <c r="A42">
        <v>1941</v>
      </c>
      <c r="B42">
        <v>0.35150130000000002</v>
      </c>
      <c r="C42">
        <v>-0.58454640000000002</v>
      </c>
      <c r="D42">
        <v>0.88657079999999999</v>
      </c>
      <c r="E42">
        <v>-4.1942260000000002E-2</v>
      </c>
      <c r="F42">
        <v>-0.2833754</v>
      </c>
      <c r="G42">
        <v>-0.48328339999999997</v>
      </c>
      <c r="H42">
        <v>0.82153949999999998</v>
      </c>
      <c r="I42">
        <v>0.83804679999999998</v>
      </c>
      <c r="J42">
        <v>-1.0308170000000001</v>
      </c>
      <c r="K42">
        <v>-0.58798399999999995</v>
      </c>
      <c r="L42">
        <v>1.648388</v>
      </c>
      <c r="M42">
        <v>1.100398</v>
      </c>
      <c r="N42" s="11">
        <f t="shared" si="4"/>
        <v>0.18708438000000002</v>
      </c>
      <c r="O42" s="11">
        <f t="shared" si="5"/>
        <v>0.39210096666666666</v>
      </c>
      <c r="P42" s="11">
        <f t="shared" si="6"/>
        <v>9.8623333333333427E-3</v>
      </c>
      <c r="Q42" s="11">
        <f t="shared" si="7"/>
        <v>0.45692612000000005</v>
      </c>
    </row>
    <row r="43" spans="1:17" x14ac:dyDescent="0.25">
      <c r="A43">
        <v>1942</v>
      </c>
      <c r="B43">
        <v>-7.9909439999999998E-2</v>
      </c>
      <c r="C43">
        <v>0.35028979999999998</v>
      </c>
      <c r="D43">
        <v>0.81512240000000002</v>
      </c>
      <c r="E43">
        <v>-0.24819569999999999</v>
      </c>
      <c r="F43">
        <v>-0.19532769999999999</v>
      </c>
      <c r="G43">
        <v>-1.518324</v>
      </c>
      <c r="H43">
        <v>9.9067240000000001E-2</v>
      </c>
      <c r="I43">
        <v>0.31073909999999999</v>
      </c>
      <c r="J43">
        <v>0.36619010000000002</v>
      </c>
      <c r="K43">
        <v>0.36492170000000002</v>
      </c>
      <c r="L43">
        <v>-0.67433200000000004</v>
      </c>
      <c r="M43">
        <v>-0.49961240000000001</v>
      </c>
      <c r="N43" s="11">
        <f t="shared" si="4"/>
        <v>0.12386633333333334</v>
      </c>
      <c r="O43" s="11">
        <f t="shared" si="5"/>
        <v>-0.36950588666666673</v>
      </c>
      <c r="P43" s="11">
        <f t="shared" si="6"/>
        <v>1.8926600000000016E-2</v>
      </c>
      <c r="Q43" s="11">
        <f t="shared" si="7"/>
        <v>-0.6021099333333334</v>
      </c>
    </row>
    <row r="44" spans="1:17" x14ac:dyDescent="0.25">
      <c r="A44">
        <v>1943</v>
      </c>
      <c r="B44">
        <v>-1.058799</v>
      </c>
      <c r="C44">
        <v>-0.24791840000000001</v>
      </c>
      <c r="D44">
        <v>1.1022289999999999</v>
      </c>
      <c r="E44">
        <v>-1.07223</v>
      </c>
      <c r="F44">
        <v>9.8346390000000006E-2</v>
      </c>
      <c r="G44">
        <v>-0.81375529999999996</v>
      </c>
      <c r="H44">
        <v>0.98014349999999995</v>
      </c>
      <c r="I44">
        <v>-1.830012</v>
      </c>
      <c r="J44">
        <v>0.56826560000000004</v>
      </c>
      <c r="K44">
        <v>-0.65218339999999997</v>
      </c>
      <c r="L44">
        <v>-1.2134</v>
      </c>
      <c r="M44">
        <v>-1.7530349999999999</v>
      </c>
      <c r="N44" s="11">
        <f t="shared" si="4"/>
        <v>4.2781796666666629E-2</v>
      </c>
      <c r="O44" s="11">
        <f t="shared" si="5"/>
        <v>-0.55454126666666659</v>
      </c>
      <c r="P44" s="11">
        <f t="shared" si="6"/>
        <v>-0.43243926666666671</v>
      </c>
      <c r="Q44" s="11">
        <f t="shared" si="7"/>
        <v>-0.64758950000000004</v>
      </c>
    </row>
    <row r="45" spans="1:17" x14ac:dyDescent="0.25">
      <c r="A45">
        <v>1944</v>
      </c>
      <c r="B45">
        <v>0.62278219999999995</v>
      </c>
      <c r="C45">
        <v>-0.81251569999999995</v>
      </c>
      <c r="D45">
        <v>-1.1690849999999999</v>
      </c>
      <c r="E45">
        <v>0.27634229999999999</v>
      </c>
      <c r="F45">
        <v>-0.65489399999999998</v>
      </c>
      <c r="G45">
        <v>1.7864789999999999</v>
      </c>
      <c r="H45">
        <v>0.76572450000000003</v>
      </c>
      <c r="I45">
        <v>2.0042610000000001</v>
      </c>
      <c r="J45">
        <v>-0.1562064</v>
      </c>
      <c r="K45">
        <v>1.639767</v>
      </c>
      <c r="L45">
        <v>-0.88118110000000005</v>
      </c>
      <c r="M45">
        <v>-1.260761</v>
      </c>
      <c r="N45" s="11">
        <f t="shared" si="4"/>
        <v>-0.51587890000000003</v>
      </c>
      <c r="O45" s="11">
        <f t="shared" si="5"/>
        <v>1.5188215000000003</v>
      </c>
      <c r="P45" s="11">
        <f t="shared" si="6"/>
        <v>0.20079316666666661</v>
      </c>
      <c r="Q45" s="11">
        <f t="shared" si="7"/>
        <v>0.1361804333333333</v>
      </c>
    </row>
    <row r="46" spans="1:17" x14ac:dyDescent="0.25">
      <c r="A46">
        <v>1945</v>
      </c>
      <c r="B46">
        <v>1.5069399999999999</v>
      </c>
      <c r="C46">
        <v>0.16236229999999999</v>
      </c>
      <c r="D46">
        <v>1.4821549999999999</v>
      </c>
      <c r="E46">
        <v>-0.21714549999999999</v>
      </c>
      <c r="F46">
        <v>1.858033</v>
      </c>
      <c r="G46">
        <v>0.322384</v>
      </c>
      <c r="H46">
        <v>1.266664</v>
      </c>
      <c r="I46">
        <v>1.234977</v>
      </c>
      <c r="J46">
        <v>-0.41054220000000002</v>
      </c>
      <c r="K46">
        <v>-0.72765849999999999</v>
      </c>
      <c r="L46">
        <v>1.6592389999999999</v>
      </c>
      <c r="M46">
        <v>0.83229909999999996</v>
      </c>
      <c r="N46" s="11">
        <f t="shared" si="4"/>
        <v>1.0410141666666666</v>
      </c>
      <c r="O46" s="11">
        <f t="shared" si="5"/>
        <v>0.94134166666666663</v>
      </c>
      <c r="P46" s="11">
        <f t="shared" si="6"/>
        <v>0.17367943333333327</v>
      </c>
      <c r="Q46" s="11">
        <f t="shared" si="7"/>
        <v>1.0987358666666667</v>
      </c>
    </row>
    <row r="47" spans="1:17" x14ac:dyDescent="0.25">
      <c r="A47">
        <v>1946</v>
      </c>
      <c r="B47">
        <v>1.50929</v>
      </c>
      <c r="C47">
        <v>0.95461850000000004</v>
      </c>
      <c r="D47">
        <v>-1.0781449999999999</v>
      </c>
      <c r="E47">
        <v>-0.25102469999999999</v>
      </c>
      <c r="F47">
        <v>-9.9950549999999999E-2</v>
      </c>
      <c r="G47">
        <v>-1.0498449999999999</v>
      </c>
      <c r="H47">
        <v>1.1359170000000001</v>
      </c>
      <c r="I47">
        <v>-1.475347</v>
      </c>
      <c r="J47">
        <v>1.9443859999999999</v>
      </c>
      <c r="K47">
        <v>0.68667140000000004</v>
      </c>
      <c r="L47">
        <v>1.637446</v>
      </c>
      <c r="M47">
        <v>-9.8451440000000001E-2</v>
      </c>
      <c r="N47" s="11">
        <f t="shared" si="4"/>
        <v>-0.47637341666666666</v>
      </c>
      <c r="O47" s="11">
        <f t="shared" si="5"/>
        <v>-0.46309166666666662</v>
      </c>
      <c r="P47" s="11">
        <f t="shared" si="6"/>
        <v>1.4228344666666668</v>
      </c>
      <c r="Q47" s="11">
        <f t="shared" si="7"/>
        <v>0.34408038666666668</v>
      </c>
    </row>
    <row r="48" spans="1:17" x14ac:dyDescent="0.25">
      <c r="A48">
        <v>1947</v>
      </c>
      <c r="B48">
        <v>1.2335210000000001</v>
      </c>
      <c r="C48">
        <v>-0.1028284</v>
      </c>
      <c r="D48">
        <v>-0.75837069999999995</v>
      </c>
      <c r="E48">
        <v>-1.382128</v>
      </c>
      <c r="F48">
        <v>0.31673269999999998</v>
      </c>
      <c r="G48">
        <v>0.2263173</v>
      </c>
      <c r="H48">
        <v>-1.7486820000000001</v>
      </c>
      <c r="I48">
        <v>0.32417620000000003</v>
      </c>
      <c r="J48">
        <v>0.23407620000000001</v>
      </c>
      <c r="K48">
        <v>-1.4448240000000001</v>
      </c>
      <c r="L48">
        <v>-1.901956</v>
      </c>
      <c r="M48">
        <v>0.37018329999999999</v>
      </c>
      <c r="N48" s="11">
        <f t="shared" si="4"/>
        <v>-0.60792200000000007</v>
      </c>
      <c r="O48" s="11">
        <f t="shared" si="5"/>
        <v>-0.39939616666666672</v>
      </c>
      <c r="P48" s="11">
        <f t="shared" si="6"/>
        <v>-1.0375679333333334</v>
      </c>
      <c r="Q48" s="11">
        <f t="shared" si="7"/>
        <v>0.22011013333333337</v>
      </c>
    </row>
    <row r="49" spans="1:17" x14ac:dyDescent="0.25">
      <c r="A49">
        <v>1948</v>
      </c>
      <c r="B49">
        <v>0.88825679999999996</v>
      </c>
      <c r="C49">
        <v>-0.59810969999999997</v>
      </c>
      <c r="D49">
        <v>-0.70994579999999996</v>
      </c>
      <c r="E49">
        <v>-0.20026179999999999</v>
      </c>
      <c r="F49">
        <v>-1.323739</v>
      </c>
      <c r="G49">
        <v>-3.4579770000000003E-2</v>
      </c>
      <c r="H49">
        <v>1.4039820000000001</v>
      </c>
      <c r="I49">
        <v>-0.89062730000000001</v>
      </c>
      <c r="J49">
        <v>1.0307139999999999</v>
      </c>
      <c r="K49">
        <v>-0.49965739999999997</v>
      </c>
      <c r="L49">
        <v>-0.88118090000000004</v>
      </c>
      <c r="M49">
        <v>0.44058849999999999</v>
      </c>
      <c r="N49" s="11">
        <f t="shared" si="4"/>
        <v>-0.74464886666666663</v>
      </c>
      <c r="O49" s="11">
        <f t="shared" si="5"/>
        <v>0.15959164333333339</v>
      </c>
      <c r="P49" s="11">
        <f t="shared" si="6"/>
        <v>-0.11670810000000005</v>
      </c>
      <c r="Q49" s="11">
        <f t="shared" si="7"/>
        <v>1.0283367999999999</v>
      </c>
    </row>
    <row r="50" spans="1:17" x14ac:dyDescent="0.25">
      <c r="A50">
        <v>1949</v>
      </c>
      <c r="B50">
        <v>0.72603390000000001</v>
      </c>
      <c r="C50">
        <v>1.918388</v>
      </c>
      <c r="D50">
        <v>1.654345</v>
      </c>
      <c r="E50">
        <v>-0.87948040000000005</v>
      </c>
      <c r="F50">
        <v>2.1684359999999998</v>
      </c>
      <c r="G50">
        <v>1.6421790000000001</v>
      </c>
      <c r="H50">
        <v>-1.224048</v>
      </c>
      <c r="I50">
        <v>-1.6281969999999999</v>
      </c>
      <c r="J50">
        <v>-1.4884919999999999</v>
      </c>
      <c r="K50">
        <v>-1.008731</v>
      </c>
      <c r="L50">
        <v>-1.493061</v>
      </c>
      <c r="M50">
        <v>0.86370069999999999</v>
      </c>
      <c r="N50" s="11">
        <f t="shared" si="4"/>
        <v>0.98110019999999987</v>
      </c>
      <c r="O50" s="11">
        <f t="shared" si="5"/>
        <v>-0.40335533333333329</v>
      </c>
      <c r="P50" s="11">
        <f t="shared" si="6"/>
        <v>-1.3300946666666666</v>
      </c>
      <c r="Q50" s="11">
        <f t="shared" si="7"/>
        <v>-9.8786433333333326E-2</v>
      </c>
    </row>
    <row r="51" spans="1:17" x14ac:dyDescent="0.25">
      <c r="A51">
        <v>1950</v>
      </c>
      <c r="B51">
        <v>-0.94233259999999996</v>
      </c>
      <c r="C51">
        <v>-0.21772739999999999</v>
      </c>
      <c r="D51">
        <v>0.24711459999999999</v>
      </c>
      <c r="E51">
        <v>-0.1108946</v>
      </c>
      <c r="F51">
        <v>0.73427980000000004</v>
      </c>
      <c r="G51">
        <v>1.4874149999999999</v>
      </c>
      <c r="H51">
        <v>0.56674469999999999</v>
      </c>
      <c r="I51">
        <v>1.543641</v>
      </c>
      <c r="J51">
        <v>1.265771</v>
      </c>
      <c r="K51">
        <v>6.3690780000000002E-2</v>
      </c>
      <c r="L51">
        <v>0.84043840000000003</v>
      </c>
      <c r="M51">
        <v>0.34815679999999999</v>
      </c>
      <c r="N51" s="11">
        <f t="shared" si="4"/>
        <v>0.2901666</v>
      </c>
      <c r="O51" s="11">
        <f t="shared" si="5"/>
        <v>1.1992669</v>
      </c>
      <c r="P51" s="11">
        <f t="shared" si="6"/>
        <v>0.72330006000000002</v>
      </c>
      <c r="Q51" s="11">
        <f t="shared" si="7"/>
        <v>0.64264776333333329</v>
      </c>
    </row>
    <row r="52" spans="1:17" x14ac:dyDescent="0.25">
      <c r="A52">
        <v>1951</v>
      </c>
      <c r="B52">
        <v>1.6033470000000001</v>
      </c>
      <c r="C52">
        <v>-2.356051E-2</v>
      </c>
      <c r="D52">
        <v>-1.0781449999999999</v>
      </c>
      <c r="E52">
        <v>-1.6022670000000001</v>
      </c>
      <c r="F52">
        <v>2.0185580000000001</v>
      </c>
      <c r="G52">
        <v>0.1089963</v>
      </c>
      <c r="H52">
        <v>1.02118</v>
      </c>
      <c r="I52">
        <v>-4.6161430000000003E-2</v>
      </c>
      <c r="J52">
        <v>1.573248</v>
      </c>
      <c r="K52">
        <v>-0.46811770000000003</v>
      </c>
      <c r="L52">
        <v>1.431701E-2</v>
      </c>
      <c r="M52">
        <v>-0.39264260000000001</v>
      </c>
      <c r="N52" s="11">
        <f t="shared" si="4"/>
        <v>-0.22061799999999998</v>
      </c>
      <c r="O52" s="11">
        <f t="shared" si="5"/>
        <v>0.36133829000000001</v>
      </c>
      <c r="P52" s="11">
        <f t="shared" si="6"/>
        <v>0.37314910333333334</v>
      </c>
      <c r="Q52" s="11">
        <f t="shared" si="7"/>
        <v>-0.56494166666666668</v>
      </c>
    </row>
    <row r="53" spans="1:17" x14ac:dyDescent="0.25">
      <c r="A53">
        <v>1952</v>
      </c>
      <c r="B53">
        <v>-0.4298536</v>
      </c>
      <c r="C53">
        <v>-0.87232880000000002</v>
      </c>
      <c r="D53">
        <v>1.8515349999999999</v>
      </c>
      <c r="E53">
        <v>-1.4882299999999999</v>
      </c>
      <c r="F53">
        <v>0.89194340000000005</v>
      </c>
      <c r="G53">
        <v>-1.244065</v>
      </c>
      <c r="H53">
        <v>-0.99419219999999997</v>
      </c>
      <c r="I53">
        <v>-0.65001699999999996</v>
      </c>
      <c r="J53">
        <v>-0.6440669</v>
      </c>
      <c r="K53">
        <v>-0.2315295</v>
      </c>
      <c r="L53">
        <v>-0.58182040000000002</v>
      </c>
      <c r="M53">
        <v>-1.2997590000000001</v>
      </c>
      <c r="N53" s="11">
        <f t="shared" si="4"/>
        <v>0.41841613333333338</v>
      </c>
      <c r="O53" s="11">
        <f t="shared" si="5"/>
        <v>-0.96275806666666675</v>
      </c>
      <c r="P53" s="11">
        <f t="shared" si="6"/>
        <v>-0.4858056</v>
      </c>
      <c r="Q53" s="11">
        <f t="shared" si="7"/>
        <v>-8.8735666666666699E-2</v>
      </c>
    </row>
    <row r="54" spans="1:17" x14ac:dyDescent="0.25">
      <c r="A54">
        <v>1953</v>
      </c>
      <c r="B54">
        <v>2.1743540000000001</v>
      </c>
      <c r="C54">
        <v>-1.1408020000000001</v>
      </c>
      <c r="D54">
        <v>-2.8733749999999999E-2</v>
      </c>
      <c r="E54">
        <v>-1.622153</v>
      </c>
      <c r="F54">
        <v>1.2632000000000001</v>
      </c>
      <c r="G54">
        <v>-0.92321500000000001</v>
      </c>
      <c r="H54">
        <v>0.94833179999999995</v>
      </c>
      <c r="I54">
        <v>1.6871560000000001</v>
      </c>
      <c r="J54">
        <v>1.792095</v>
      </c>
      <c r="K54">
        <v>-0.14506930000000001</v>
      </c>
      <c r="L54">
        <v>-0.34532750000000001</v>
      </c>
      <c r="M54">
        <v>0.33707989999999999</v>
      </c>
      <c r="N54" s="11">
        <f t="shared" si="4"/>
        <v>-0.12922891666666661</v>
      </c>
      <c r="O54" s="11">
        <f t="shared" si="5"/>
        <v>0.57075759999999998</v>
      </c>
      <c r="P54" s="11">
        <f t="shared" si="6"/>
        <v>0.43389939999999999</v>
      </c>
      <c r="Q54" s="11">
        <f t="shared" si="7"/>
        <v>-0.33975716666666661</v>
      </c>
    </row>
    <row r="55" spans="1:17" x14ac:dyDescent="0.25">
      <c r="A55">
        <v>1954</v>
      </c>
      <c r="B55">
        <v>-0.90196189999999998</v>
      </c>
      <c r="C55">
        <v>-0.4543895</v>
      </c>
      <c r="D55">
        <v>-1.905076</v>
      </c>
      <c r="E55">
        <v>0.35719909999999999</v>
      </c>
      <c r="F55">
        <v>3.3536939999999999E-3</v>
      </c>
      <c r="G55">
        <v>0.18879029999999999</v>
      </c>
      <c r="H55">
        <v>1.0260119999999999</v>
      </c>
      <c r="I55">
        <v>1.7317480000000001</v>
      </c>
      <c r="J55">
        <v>1.5820559999999999</v>
      </c>
      <c r="K55">
        <v>5.7433860000000003E-2</v>
      </c>
      <c r="L55">
        <v>-0.76846239999999999</v>
      </c>
      <c r="M55">
        <v>0.3509195</v>
      </c>
      <c r="N55" s="11">
        <f t="shared" si="4"/>
        <v>-0.51484106866666657</v>
      </c>
      <c r="O55" s="11">
        <f t="shared" si="5"/>
        <v>0.98218343333333336</v>
      </c>
      <c r="P55" s="11">
        <f t="shared" si="6"/>
        <v>0.29034248666666662</v>
      </c>
      <c r="Q55" s="11">
        <f t="shared" si="7"/>
        <v>0.2623513666666667</v>
      </c>
    </row>
    <row r="56" spans="1:17" x14ac:dyDescent="0.25">
      <c r="A56">
        <v>1955</v>
      </c>
      <c r="B56">
        <v>-0.16340669999999999</v>
      </c>
      <c r="C56">
        <v>0.59954130000000005</v>
      </c>
      <c r="D56">
        <v>-0.84442039999999996</v>
      </c>
      <c r="E56">
        <v>1.078592</v>
      </c>
      <c r="F56">
        <v>-1.005206</v>
      </c>
      <c r="G56">
        <v>1.0024409999999999</v>
      </c>
      <c r="H56">
        <v>0.29206290000000001</v>
      </c>
      <c r="I56">
        <v>-0.34647650000000002</v>
      </c>
      <c r="J56">
        <v>9.241423E-2</v>
      </c>
      <c r="K56">
        <v>-1.6945349999999999</v>
      </c>
      <c r="L56">
        <v>-1.171754</v>
      </c>
      <c r="M56">
        <v>1.9843189999999999</v>
      </c>
      <c r="N56" s="11">
        <f t="shared" si="4"/>
        <v>-0.25701146666666669</v>
      </c>
      <c r="O56" s="11">
        <f t="shared" si="5"/>
        <v>0.3160091333333333</v>
      </c>
      <c r="P56" s="11">
        <f t="shared" si="6"/>
        <v>-0.92462492333333335</v>
      </c>
      <c r="Q56" s="11">
        <f t="shared" si="7"/>
        <v>0.999502</v>
      </c>
    </row>
    <row r="57" spans="1:17" x14ac:dyDescent="0.25">
      <c r="A57">
        <v>1956</v>
      </c>
      <c r="B57">
        <v>1.283766</v>
      </c>
      <c r="C57">
        <v>-0.26957900000000001</v>
      </c>
      <c r="D57">
        <v>9.0593000000000007E-2</v>
      </c>
      <c r="E57">
        <v>0.2941841</v>
      </c>
      <c r="F57">
        <v>-0.86531630000000004</v>
      </c>
      <c r="G57">
        <v>-1.5758110000000001</v>
      </c>
      <c r="H57">
        <v>-0.56693459999999996</v>
      </c>
      <c r="I57">
        <v>-0.90288979999999996</v>
      </c>
      <c r="J57">
        <v>-0.51715800000000001</v>
      </c>
      <c r="K57">
        <v>-1.0937399999999999</v>
      </c>
      <c r="L57">
        <v>-1.089167</v>
      </c>
      <c r="M57">
        <v>-1.9044920000000001</v>
      </c>
      <c r="N57" s="11">
        <f t="shared" si="4"/>
        <v>-0.16017973333333335</v>
      </c>
      <c r="O57" s="11">
        <f t="shared" si="5"/>
        <v>-1.0152118000000001</v>
      </c>
      <c r="P57" s="11">
        <f t="shared" si="6"/>
        <v>-0.90002166666666661</v>
      </c>
      <c r="Q57" s="11">
        <f t="shared" si="7"/>
        <v>-1.2553023999999999</v>
      </c>
    </row>
    <row r="58" spans="1:17" x14ac:dyDescent="0.25">
      <c r="A58">
        <v>1957</v>
      </c>
      <c r="B58">
        <v>0.19903080000000001</v>
      </c>
      <c r="C58">
        <v>-2.0604460000000002</v>
      </c>
      <c r="D58">
        <v>-0.90076049999999996</v>
      </c>
      <c r="E58">
        <v>-1.4739260000000001</v>
      </c>
      <c r="F58">
        <v>0.58002750000000003</v>
      </c>
      <c r="G58">
        <v>-0.3782896</v>
      </c>
      <c r="H58">
        <v>1.354201</v>
      </c>
      <c r="I58">
        <v>1.9454929999999999</v>
      </c>
      <c r="J58">
        <v>-0.91536949999999995</v>
      </c>
      <c r="K58">
        <v>-0.1319111</v>
      </c>
      <c r="L58">
        <v>0.47260170000000001</v>
      </c>
      <c r="M58">
        <v>-1.1414870000000001E-2</v>
      </c>
      <c r="N58" s="11">
        <f t="shared" si="4"/>
        <v>-0.59821966666666671</v>
      </c>
      <c r="O58" s="11">
        <f t="shared" si="5"/>
        <v>0.97380146666666667</v>
      </c>
      <c r="P58" s="11">
        <f t="shared" si="6"/>
        <v>-0.19155963333333328</v>
      </c>
      <c r="Q58" s="11">
        <f t="shared" si="7"/>
        <v>-0.16051808999999997</v>
      </c>
    </row>
    <row r="59" spans="1:17" x14ac:dyDescent="0.25">
      <c r="A59">
        <v>1958</v>
      </c>
      <c r="B59">
        <v>-0.69892469999999995</v>
      </c>
      <c r="C59">
        <v>0.2287853</v>
      </c>
      <c r="D59">
        <v>-1.6447769999999999</v>
      </c>
      <c r="E59">
        <v>-2.8249929999999999E-2</v>
      </c>
      <c r="F59">
        <v>1.0372589999999999</v>
      </c>
      <c r="G59">
        <v>-0.31724799999999997</v>
      </c>
      <c r="H59">
        <v>2.194248</v>
      </c>
      <c r="I59">
        <v>0.173821</v>
      </c>
      <c r="J59">
        <v>-0.31580799999999998</v>
      </c>
      <c r="K59">
        <v>-2.0134789999999998</v>
      </c>
      <c r="L59">
        <v>0.84358029999999995</v>
      </c>
      <c r="M59">
        <v>-7.6525410000000002E-2</v>
      </c>
      <c r="N59" s="11">
        <f t="shared" si="4"/>
        <v>-0.21192264333333335</v>
      </c>
      <c r="O59" s="11">
        <f t="shared" si="5"/>
        <v>0.68360699999999996</v>
      </c>
      <c r="P59" s="11">
        <f t="shared" si="6"/>
        <v>-0.49523556666666663</v>
      </c>
      <c r="Q59" s="11">
        <f t="shared" si="7"/>
        <v>-0.49183150333333336</v>
      </c>
    </row>
    <row r="60" spans="1:17" x14ac:dyDescent="0.25">
      <c r="A60">
        <v>1959</v>
      </c>
      <c r="B60">
        <v>-0.3324241</v>
      </c>
      <c r="C60">
        <v>-1.0665450000000001</v>
      </c>
      <c r="D60">
        <v>1.4252849999999999</v>
      </c>
      <c r="E60">
        <v>1.8342039999999999</v>
      </c>
      <c r="F60">
        <v>9.0813770000000002E-2</v>
      </c>
      <c r="G60">
        <v>-1.700256</v>
      </c>
      <c r="H60">
        <v>0.19283739999999999</v>
      </c>
      <c r="I60">
        <v>1.473112</v>
      </c>
      <c r="J60">
        <v>1.579124</v>
      </c>
      <c r="K60">
        <v>0.9610012</v>
      </c>
      <c r="L60">
        <v>-1.1067849999999999</v>
      </c>
      <c r="M60">
        <v>-1.50962</v>
      </c>
      <c r="N60" s="11">
        <f t="shared" si="4"/>
        <v>1.11676759</v>
      </c>
      <c r="O60" s="11">
        <f t="shared" si="5"/>
        <v>-1.1435533333333359E-2</v>
      </c>
      <c r="P60" s="11">
        <f t="shared" si="6"/>
        <v>0.47778006666666667</v>
      </c>
      <c r="Q60" s="11">
        <f t="shared" si="7"/>
        <v>-0.6454327666666666</v>
      </c>
    </row>
    <row r="61" spans="1:17" x14ac:dyDescent="0.25">
      <c r="A61">
        <v>1960</v>
      </c>
      <c r="B61">
        <v>-0.18740180000000001</v>
      </c>
      <c r="C61">
        <v>-0.2392765</v>
      </c>
      <c r="D61">
        <v>0.46108310000000002</v>
      </c>
      <c r="E61">
        <v>0.87834520000000005</v>
      </c>
      <c r="F61">
        <v>-0.60047499999999998</v>
      </c>
      <c r="G61">
        <v>1.3118259999999999</v>
      </c>
      <c r="H61">
        <v>1.6378250000000001</v>
      </c>
      <c r="I61">
        <v>-0.86616579999999999</v>
      </c>
      <c r="J61">
        <v>-0.4609625</v>
      </c>
      <c r="K61">
        <v>0.85844209999999999</v>
      </c>
      <c r="L61">
        <v>0.17516780000000001</v>
      </c>
      <c r="M61">
        <v>-0.1904206</v>
      </c>
      <c r="N61" s="11">
        <f t="shared" si="4"/>
        <v>0.24631776666666669</v>
      </c>
      <c r="O61" s="11">
        <f t="shared" si="5"/>
        <v>0.69449506666666672</v>
      </c>
      <c r="P61" s="11">
        <f t="shared" si="6"/>
        <v>0.19088246666666667</v>
      </c>
      <c r="Q61" s="11">
        <f t="shared" si="7"/>
        <v>0.71906145333333338</v>
      </c>
    </row>
    <row r="62" spans="1:17" x14ac:dyDescent="0.25">
      <c r="A62">
        <v>1961</v>
      </c>
      <c r="B62">
        <v>2.2489089999999998</v>
      </c>
      <c r="C62">
        <v>9.8695959999999999E-2</v>
      </c>
      <c r="D62">
        <v>-0.33401730000000002</v>
      </c>
      <c r="E62">
        <v>-0.52061679999999999</v>
      </c>
      <c r="F62">
        <v>0.8139402</v>
      </c>
      <c r="G62">
        <v>0.20634179999999999</v>
      </c>
      <c r="H62">
        <v>0.68059950000000002</v>
      </c>
      <c r="I62">
        <v>-0.2137452</v>
      </c>
      <c r="J62">
        <v>1.4023950000000001</v>
      </c>
      <c r="K62">
        <v>-0.42281849999999999</v>
      </c>
      <c r="L62">
        <v>0.66543110000000005</v>
      </c>
      <c r="M62">
        <v>-1.399211</v>
      </c>
      <c r="N62" s="11">
        <f t="shared" si="4"/>
        <v>-1.3564633333333317E-2</v>
      </c>
      <c r="O62" s="11">
        <f t="shared" si="5"/>
        <v>0.22439870000000003</v>
      </c>
      <c r="P62" s="11">
        <f t="shared" si="6"/>
        <v>0.54833586666666667</v>
      </c>
      <c r="Q62" s="11">
        <f t="shared" si="7"/>
        <v>-1.2194339666666665</v>
      </c>
    </row>
    <row r="63" spans="1:17" x14ac:dyDescent="0.25">
      <c r="A63">
        <v>1962</v>
      </c>
      <c r="B63">
        <v>-0.75999989999999995</v>
      </c>
      <c r="C63">
        <v>-1.499091</v>
      </c>
      <c r="D63">
        <v>-1.256391</v>
      </c>
      <c r="E63">
        <v>7.7344300000000005E-2</v>
      </c>
      <c r="F63">
        <v>-1.2092879999999999</v>
      </c>
      <c r="G63">
        <v>-0.45186150000000003</v>
      </c>
      <c r="H63">
        <v>-0.64363239999999999</v>
      </c>
      <c r="I63">
        <v>1.405308</v>
      </c>
      <c r="J63">
        <v>0.42690879999999998</v>
      </c>
      <c r="K63">
        <v>-1.774627</v>
      </c>
      <c r="L63">
        <v>0.34690019999999999</v>
      </c>
      <c r="M63">
        <v>-0.40592539999999999</v>
      </c>
      <c r="N63" s="11">
        <f t="shared" si="4"/>
        <v>-0.7961115666666666</v>
      </c>
      <c r="O63" s="11">
        <f t="shared" si="5"/>
        <v>0.10327136666666663</v>
      </c>
      <c r="P63" s="11">
        <f t="shared" si="6"/>
        <v>-0.33360600000000007</v>
      </c>
      <c r="Q63" s="11">
        <f t="shared" si="7"/>
        <v>-0.64433759999999995</v>
      </c>
    </row>
    <row r="64" spans="1:17" x14ac:dyDescent="0.25">
      <c r="A64">
        <v>1963</v>
      </c>
      <c r="B64">
        <v>0.1724966</v>
      </c>
      <c r="C64">
        <v>-1.699584</v>
      </c>
      <c r="D64">
        <v>0.58585359999999997</v>
      </c>
      <c r="E64">
        <v>1.9010940000000001</v>
      </c>
      <c r="F64">
        <v>-1.1591389999999999</v>
      </c>
      <c r="G64">
        <v>-0.19210630000000001</v>
      </c>
      <c r="H64">
        <v>-0.97135050000000001</v>
      </c>
      <c r="I64">
        <v>-0.58938880000000005</v>
      </c>
      <c r="J64">
        <v>1.564397</v>
      </c>
      <c r="K64">
        <v>1.117094</v>
      </c>
      <c r="L64">
        <v>1.544495</v>
      </c>
      <c r="M64">
        <v>-0.2419094</v>
      </c>
      <c r="N64" s="11">
        <f t="shared" si="4"/>
        <v>0.44260286666666676</v>
      </c>
      <c r="O64" s="11">
        <f t="shared" si="5"/>
        <v>-0.5842818666666667</v>
      </c>
      <c r="P64" s="11">
        <f t="shared" si="6"/>
        <v>1.4086620000000003</v>
      </c>
      <c r="Q64" s="11">
        <f t="shared" si="7"/>
        <v>4.3986000000000004E-2</v>
      </c>
    </row>
    <row r="65" spans="1:17" x14ac:dyDescent="0.25">
      <c r="A65">
        <v>1964</v>
      </c>
      <c r="B65">
        <v>-0.97455559999999997</v>
      </c>
      <c r="C65">
        <v>1.3484229999999999</v>
      </c>
      <c r="D65">
        <v>-0.51088120000000004</v>
      </c>
      <c r="E65">
        <v>1.0073110000000001</v>
      </c>
      <c r="F65">
        <v>-0.32133970000000001</v>
      </c>
      <c r="G65">
        <v>-1.056629</v>
      </c>
      <c r="H65">
        <v>-1.255968</v>
      </c>
      <c r="I65">
        <v>0.75876889999999997</v>
      </c>
      <c r="J65">
        <v>1.0113890000000001</v>
      </c>
      <c r="K65">
        <v>-0.60576890000000005</v>
      </c>
      <c r="L65">
        <v>0.28132639999999998</v>
      </c>
      <c r="M65">
        <v>1.2423310000000001</v>
      </c>
      <c r="N65" s="11">
        <f t="shared" si="4"/>
        <v>5.8363366666666673E-2</v>
      </c>
      <c r="O65" s="11">
        <f t="shared" si="5"/>
        <v>-0.51794270000000009</v>
      </c>
      <c r="P65" s="11">
        <f t="shared" si="6"/>
        <v>0.22898216666666668</v>
      </c>
      <c r="Q65" s="11">
        <f t="shared" si="7"/>
        <v>1.5130583666666668</v>
      </c>
    </row>
    <row r="66" spans="1:17" x14ac:dyDescent="0.25">
      <c r="A66">
        <v>1965</v>
      </c>
      <c r="B66">
        <v>0.87897709999999996</v>
      </c>
      <c r="C66">
        <v>2.4178670000000002</v>
      </c>
      <c r="D66">
        <v>-0.65058830000000001</v>
      </c>
      <c r="E66">
        <v>0.37464259999999999</v>
      </c>
      <c r="F66">
        <v>-8.7031259999999999E-2</v>
      </c>
      <c r="G66">
        <v>1.59995</v>
      </c>
      <c r="H66">
        <v>1.0519099999999999</v>
      </c>
      <c r="I66">
        <v>0.63379660000000004</v>
      </c>
      <c r="J66">
        <v>-1.4007829999999999</v>
      </c>
      <c r="K66">
        <v>1.5733550000000001</v>
      </c>
      <c r="L66">
        <v>1.8070489999999999</v>
      </c>
      <c r="M66">
        <v>0.55306120000000003</v>
      </c>
      <c r="N66" s="11">
        <f t="shared" si="4"/>
        <v>-0.12099232</v>
      </c>
      <c r="O66" s="11">
        <f t="shared" si="5"/>
        <v>1.0952188666666667</v>
      </c>
      <c r="P66" s="11">
        <f t="shared" si="6"/>
        <v>0.65987366666666669</v>
      </c>
      <c r="Q66" s="11">
        <f t="shared" si="7"/>
        <v>-0.24949926666666666</v>
      </c>
    </row>
    <row r="67" spans="1:17" x14ac:dyDescent="0.25">
      <c r="A67">
        <v>1966</v>
      </c>
      <c r="B67">
        <v>-1.186091</v>
      </c>
      <c r="C67">
        <v>-0.115468</v>
      </c>
      <c r="D67">
        <v>1.4504060000000001</v>
      </c>
      <c r="E67">
        <v>0.9194348</v>
      </c>
      <c r="F67">
        <v>0.93445140000000004</v>
      </c>
      <c r="G67">
        <v>1.1089260000000001</v>
      </c>
      <c r="H67">
        <v>0.6873397</v>
      </c>
      <c r="I67">
        <v>-0.99966509999999997</v>
      </c>
      <c r="J67">
        <v>-0.1317159</v>
      </c>
      <c r="K67">
        <v>-7.3190099999999994E-2</v>
      </c>
      <c r="L67">
        <v>-0.71843170000000001</v>
      </c>
      <c r="M67">
        <v>1.877766</v>
      </c>
      <c r="N67" s="11">
        <f t="shared" si="4"/>
        <v>1.1014307333333333</v>
      </c>
      <c r="O67" s="11">
        <f t="shared" si="5"/>
        <v>0.2655335333333334</v>
      </c>
      <c r="P67" s="11">
        <f t="shared" si="6"/>
        <v>-0.30777923333333335</v>
      </c>
      <c r="Q67" s="11">
        <f t="shared" si="7"/>
        <v>0.71767329999999996</v>
      </c>
    </row>
    <row r="68" spans="1:17" x14ac:dyDescent="0.25">
      <c r="A68">
        <v>1967</v>
      </c>
      <c r="B68">
        <v>0.42033969999999998</v>
      </c>
      <c r="C68">
        <v>-0.14508579999999999</v>
      </c>
      <c r="D68">
        <v>-0.29846270000000003</v>
      </c>
      <c r="E68">
        <v>-1.5908949999999999</v>
      </c>
      <c r="F68">
        <v>1.2940210000000001</v>
      </c>
      <c r="G68">
        <v>-1.5366470000000001</v>
      </c>
      <c r="H68">
        <v>0.45890589999999998</v>
      </c>
      <c r="I68">
        <v>1.877594</v>
      </c>
      <c r="J68">
        <v>-0.99144960000000004</v>
      </c>
      <c r="K68">
        <v>1.7019820000000001</v>
      </c>
      <c r="L68">
        <v>-0.70737309999999998</v>
      </c>
      <c r="M68">
        <v>-0.74191450000000003</v>
      </c>
      <c r="N68" s="11">
        <f t="shared" si="4"/>
        <v>-0.1984455666666666</v>
      </c>
      <c r="O68" s="11">
        <f t="shared" si="5"/>
        <v>0.26661763333333327</v>
      </c>
      <c r="P68" s="11">
        <f t="shared" si="6"/>
        <v>1.053100000000029E-3</v>
      </c>
      <c r="Q68" s="11">
        <f t="shared" si="7"/>
        <v>-0.12507916666666677</v>
      </c>
    </row>
    <row r="69" spans="1:17" x14ac:dyDescent="0.25">
      <c r="A69">
        <v>1968</v>
      </c>
      <c r="B69">
        <v>-1.4708300000000001</v>
      </c>
      <c r="C69">
        <v>1.837507</v>
      </c>
      <c r="D69">
        <v>-6.2493640000000003E-2</v>
      </c>
      <c r="E69">
        <v>-1.5225139999999999</v>
      </c>
      <c r="F69">
        <v>-1.6248830000000001</v>
      </c>
      <c r="G69">
        <v>-1.5444899999999999</v>
      </c>
      <c r="H69">
        <v>-0.8937235</v>
      </c>
      <c r="I69">
        <v>-0.35017470000000001</v>
      </c>
      <c r="J69">
        <v>1.6111180000000001</v>
      </c>
      <c r="K69">
        <v>0.62110900000000002</v>
      </c>
      <c r="L69">
        <v>-0.57104670000000002</v>
      </c>
      <c r="M69">
        <v>1.6637919999999999</v>
      </c>
      <c r="N69" s="11">
        <f t="shared" si="4"/>
        <v>-1.0699635466666668</v>
      </c>
      <c r="O69" s="11">
        <f t="shared" si="5"/>
        <v>-0.92946273333333329</v>
      </c>
      <c r="P69" s="11">
        <f t="shared" si="6"/>
        <v>0.55372676666666665</v>
      </c>
      <c r="Q69" s="11">
        <f t="shared" si="7"/>
        <v>5.5306799999999989E-2</v>
      </c>
    </row>
    <row r="70" spans="1:17" x14ac:dyDescent="0.25">
      <c r="A70">
        <v>1969</v>
      </c>
      <c r="B70">
        <v>-1.600579</v>
      </c>
      <c r="C70">
        <v>0.1027074</v>
      </c>
      <c r="D70">
        <v>-1.241198</v>
      </c>
      <c r="E70">
        <v>1.284057</v>
      </c>
      <c r="F70">
        <v>-0.57444519999999999</v>
      </c>
      <c r="G70">
        <v>-0.6793072</v>
      </c>
      <c r="H70">
        <v>0.68958249999999999</v>
      </c>
      <c r="I70">
        <v>1.67527</v>
      </c>
      <c r="J70">
        <v>0.31686710000000001</v>
      </c>
      <c r="K70">
        <v>0.36208410000000002</v>
      </c>
      <c r="L70">
        <v>-0.18024270000000001</v>
      </c>
      <c r="M70">
        <v>-1.4561569999999999</v>
      </c>
      <c r="N70" s="11">
        <f t="shared" si="4"/>
        <v>-0.1771954</v>
      </c>
      <c r="O70" s="11">
        <f t="shared" si="5"/>
        <v>0.56184843333333334</v>
      </c>
      <c r="P70" s="11">
        <f t="shared" si="6"/>
        <v>0.16623616666666666</v>
      </c>
      <c r="Q70" s="11">
        <f t="shared" si="7"/>
        <v>-0.33580256666666664</v>
      </c>
    </row>
    <row r="71" spans="1:17" x14ac:dyDescent="0.25">
      <c r="A71">
        <v>1970</v>
      </c>
      <c r="B71">
        <v>1.0785709999999999</v>
      </c>
      <c r="C71">
        <v>-0.62982170000000004</v>
      </c>
      <c r="D71">
        <v>-1.070576</v>
      </c>
      <c r="E71">
        <v>1.0518970000000001</v>
      </c>
      <c r="F71">
        <v>8.930457E-2</v>
      </c>
      <c r="G71">
        <v>-0.87674269999999999</v>
      </c>
      <c r="H71">
        <v>1.2836609999999999</v>
      </c>
      <c r="I71">
        <v>-0.32435510000000001</v>
      </c>
      <c r="J71">
        <v>0.60034399999999999</v>
      </c>
      <c r="K71">
        <v>-1.5277529999999999</v>
      </c>
      <c r="L71">
        <v>-0.88118110000000005</v>
      </c>
      <c r="M71">
        <v>1.419994</v>
      </c>
      <c r="N71" s="11">
        <f t="shared" si="4"/>
        <v>2.3541856666666704E-2</v>
      </c>
      <c r="O71" s="11">
        <f t="shared" si="5"/>
        <v>2.7521066666666649E-2</v>
      </c>
      <c r="P71" s="11">
        <f t="shared" si="6"/>
        <v>-0.60286336666666662</v>
      </c>
      <c r="Q71" s="11">
        <f t="shared" si="7"/>
        <v>1.2771613000000002</v>
      </c>
    </row>
    <row r="72" spans="1:17" x14ac:dyDescent="0.25">
      <c r="A72">
        <v>1971</v>
      </c>
      <c r="B72">
        <v>1.5853379999999999</v>
      </c>
      <c r="C72">
        <v>0.82615190000000005</v>
      </c>
      <c r="D72">
        <v>-0.60995140000000003</v>
      </c>
      <c r="E72">
        <v>-0.82975589999999999</v>
      </c>
      <c r="F72">
        <v>-2.4873159999999998E-2</v>
      </c>
      <c r="G72">
        <v>-0.42866700000000002</v>
      </c>
      <c r="H72">
        <v>1.612741</v>
      </c>
      <c r="I72">
        <v>1.365178</v>
      </c>
      <c r="J72">
        <v>2.7330969999999999E-3</v>
      </c>
      <c r="K72">
        <v>-1.686925</v>
      </c>
      <c r="L72">
        <v>0.17082700000000001</v>
      </c>
      <c r="M72">
        <v>1.426525</v>
      </c>
      <c r="N72" s="11">
        <f t="shared" si="4"/>
        <v>-0.48819348666666668</v>
      </c>
      <c r="O72" s="11">
        <f t="shared" si="5"/>
        <v>0.84975066666666665</v>
      </c>
      <c r="P72" s="11">
        <f t="shared" si="6"/>
        <v>-0.50445496766666664</v>
      </c>
      <c r="Q72" s="11">
        <f t="shared" si="7"/>
        <v>0.35023696666666665</v>
      </c>
    </row>
    <row r="73" spans="1:17" x14ac:dyDescent="0.25">
      <c r="A73">
        <v>1972</v>
      </c>
      <c r="B73">
        <v>0.42751600000000001</v>
      </c>
      <c r="C73">
        <v>-0.80333010000000005</v>
      </c>
      <c r="D73">
        <v>0.15532460000000001</v>
      </c>
      <c r="E73">
        <v>-1.6930080000000001</v>
      </c>
      <c r="F73">
        <v>1.2600789999999999</v>
      </c>
      <c r="G73">
        <v>-0.1427783</v>
      </c>
      <c r="H73">
        <v>0.52410440000000003</v>
      </c>
      <c r="I73">
        <v>0.83920399999999995</v>
      </c>
      <c r="J73">
        <v>0.16766049999999999</v>
      </c>
      <c r="K73">
        <v>0.86529659999999997</v>
      </c>
      <c r="L73">
        <v>-8.3843139999999997E-2</v>
      </c>
      <c r="M73">
        <v>-0.77648969999999995</v>
      </c>
      <c r="N73" s="11">
        <f t="shared" si="4"/>
        <v>-9.253480000000007E-2</v>
      </c>
      <c r="O73" s="11">
        <f t="shared" si="5"/>
        <v>0.40684336666666665</v>
      </c>
      <c r="P73" s="11">
        <f t="shared" si="6"/>
        <v>0.31637131999999996</v>
      </c>
      <c r="Q73" s="11">
        <f t="shared" si="7"/>
        <v>-0.35656139999999997</v>
      </c>
    </row>
    <row r="74" spans="1:17" x14ac:dyDescent="0.25">
      <c r="A74">
        <v>1973</v>
      </c>
      <c r="B74">
        <v>0.50554489999999996</v>
      </c>
      <c r="C74">
        <v>-0.79873939999999999</v>
      </c>
      <c r="D74">
        <v>0.50429349999999995</v>
      </c>
      <c r="E74">
        <v>0.69771179999999999</v>
      </c>
      <c r="F74">
        <v>6.045884E-2</v>
      </c>
      <c r="G74">
        <v>0.56712739999999995</v>
      </c>
      <c r="H74">
        <v>-0.17300309999999999</v>
      </c>
      <c r="I74">
        <v>-0.3446285</v>
      </c>
      <c r="J74">
        <v>-1.134528</v>
      </c>
      <c r="K74">
        <v>0.76954549999999999</v>
      </c>
      <c r="L74">
        <v>-0.84149280000000004</v>
      </c>
      <c r="M74">
        <v>-0.74882199999999999</v>
      </c>
      <c r="N74" s="11">
        <f t="shared" si="4"/>
        <v>0.42082137999999997</v>
      </c>
      <c r="O74" s="11">
        <f t="shared" si="5"/>
        <v>1.6498599999999992E-2</v>
      </c>
      <c r="P74" s="11">
        <f t="shared" si="6"/>
        <v>-0.4021584333333334</v>
      </c>
      <c r="Q74" s="11">
        <f t="shared" si="7"/>
        <v>0.71117916666666658</v>
      </c>
    </row>
    <row r="75" spans="1:17" x14ac:dyDescent="0.25">
      <c r="A75">
        <v>1974</v>
      </c>
      <c r="B75">
        <v>2.0809899999999999</v>
      </c>
      <c r="C75">
        <v>0.80136949999999996</v>
      </c>
      <c r="D75">
        <v>6.1093979999999999E-2</v>
      </c>
      <c r="E75">
        <v>-1.741045</v>
      </c>
      <c r="F75">
        <v>0.27244590000000002</v>
      </c>
      <c r="G75">
        <v>-0.83841600000000005</v>
      </c>
      <c r="H75">
        <v>-0.7843215</v>
      </c>
      <c r="I75">
        <v>-0.70732329999999999</v>
      </c>
      <c r="J75">
        <v>-0.25769500000000001</v>
      </c>
      <c r="K75">
        <v>-1.2723420000000001</v>
      </c>
      <c r="L75">
        <v>1.4317069999999999E-2</v>
      </c>
      <c r="M75">
        <v>7.0000899999999996E-3</v>
      </c>
      <c r="N75" s="11">
        <f t="shared" si="4"/>
        <v>-0.46916837333333322</v>
      </c>
      <c r="O75" s="11">
        <f t="shared" si="5"/>
        <v>-0.77668693333333338</v>
      </c>
      <c r="P75" s="11">
        <f t="shared" si="6"/>
        <v>-0.50523997666666676</v>
      </c>
      <c r="Q75" s="11">
        <f t="shared" si="7"/>
        <v>-0.13650497000000006</v>
      </c>
    </row>
    <row r="76" spans="1:17" x14ac:dyDescent="0.25">
      <c r="A76">
        <v>1975</v>
      </c>
      <c r="B76">
        <v>-1.6081540000000001</v>
      </c>
      <c r="C76">
        <v>1.1916389999999999</v>
      </c>
      <c r="D76">
        <v>1.4342999999999999</v>
      </c>
      <c r="E76">
        <v>1.0518970000000001</v>
      </c>
      <c r="F76">
        <v>9.5864629999999999E-3</v>
      </c>
      <c r="G76">
        <v>-1.0186029999999999</v>
      </c>
      <c r="H76">
        <v>0.171601</v>
      </c>
      <c r="I76">
        <v>-0.747166</v>
      </c>
      <c r="J76">
        <v>-0.88714839999999995</v>
      </c>
      <c r="K76">
        <v>-0.275343</v>
      </c>
      <c r="L76">
        <v>1.4780279999999999</v>
      </c>
      <c r="M76">
        <v>0.24407799999999999</v>
      </c>
      <c r="N76" s="11">
        <f t="shared" si="4"/>
        <v>0.83192782099999996</v>
      </c>
      <c r="O76" s="11">
        <f t="shared" si="5"/>
        <v>-0.53138933333333327</v>
      </c>
      <c r="P76" s="11">
        <f t="shared" si="6"/>
        <v>0.10517886666666665</v>
      </c>
      <c r="Q76" s="11">
        <f t="shared" si="7"/>
        <v>0.39444710000000005</v>
      </c>
    </row>
    <row r="77" spans="1:17" x14ac:dyDescent="0.25">
      <c r="A77">
        <v>1976</v>
      </c>
      <c r="B77">
        <v>1.1013520000000001</v>
      </c>
      <c r="C77">
        <v>-0.1620887</v>
      </c>
      <c r="D77">
        <v>-0.9647888</v>
      </c>
      <c r="E77">
        <v>-1.1798489999999999</v>
      </c>
      <c r="F77">
        <v>3.8996349999999999E-2</v>
      </c>
      <c r="G77">
        <v>1.22634</v>
      </c>
      <c r="H77">
        <v>-0.26531739999999998</v>
      </c>
      <c r="I77">
        <v>-1.5769219999999999</v>
      </c>
      <c r="J77">
        <v>-1.2126399999999999</v>
      </c>
      <c r="K77">
        <v>-0.2080958</v>
      </c>
      <c r="L77">
        <v>-4.1387090000000001E-2</v>
      </c>
      <c r="M77">
        <v>1.231387</v>
      </c>
      <c r="N77" s="11">
        <f t="shared" si="4"/>
        <v>-0.7018804833333333</v>
      </c>
      <c r="O77" s="11">
        <f t="shared" si="5"/>
        <v>-0.2052998</v>
      </c>
      <c r="P77" s="11">
        <f t="shared" si="6"/>
        <v>-0.4873742966666666</v>
      </c>
      <c r="Q77" s="11">
        <f t="shared" si="7"/>
        <v>0.84092730000000004</v>
      </c>
    </row>
    <row r="78" spans="1:17" x14ac:dyDescent="0.25">
      <c r="A78">
        <v>1977</v>
      </c>
      <c r="B78">
        <v>0.77473340000000002</v>
      </c>
      <c r="C78">
        <v>0.5166615</v>
      </c>
      <c r="D78">
        <v>-0.60995140000000003</v>
      </c>
      <c r="E78">
        <v>0.79396800000000001</v>
      </c>
      <c r="F78">
        <v>0.69301020000000002</v>
      </c>
      <c r="G78">
        <v>1.7673939999999999</v>
      </c>
      <c r="H78">
        <v>-0.44010199999999999</v>
      </c>
      <c r="I78">
        <v>-0.82558759999999998</v>
      </c>
      <c r="J78">
        <v>-7.4901759999999998E-2</v>
      </c>
      <c r="K78">
        <v>0.31339790000000001</v>
      </c>
      <c r="L78">
        <v>1.600295</v>
      </c>
      <c r="M78">
        <v>1.1355029999999999</v>
      </c>
      <c r="N78" s="11">
        <f t="shared" si="4"/>
        <v>0.29234226666666668</v>
      </c>
      <c r="O78" s="11">
        <f t="shared" si="5"/>
        <v>0.16723479999999999</v>
      </c>
      <c r="P78" s="11">
        <f t="shared" si="6"/>
        <v>0.61293038</v>
      </c>
      <c r="Q78" s="11">
        <f t="shared" si="7"/>
        <v>0.66904909999999995</v>
      </c>
    </row>
    <row r="79" spans="1:17" x14ac:dyDescent="0.25">
      <c r="A79">
        <v>1978</v>
      </c>
      <c r="B79">
        <v>0.2216621</v>
      </c>
      <c r="C79">
        <v>0.64998219999999995</v>
      </c>
      <c r="D79">
        <v>-0.97610490000000005</v>
      </c>
      <c r="E79">
        <v>-2.1693229999999999</v>
      </c>
      <c r="F79">
        <v>1.017984</v>
      </c>
      <c r="G79">
        <v>-0.32943410000000001</v>
      </c>
      <c r="H79">
        <v>2.0668510000000002</v>
      </c>
      <c r="I79">
        <v>-1.2416050000000001</v>
      </c>
      <c r="J79">
        <v>-0.96892730000000005</v>
      </c>
      <c r="K79">
        <v>1.951973</v>
      </c>
      <c r="L79">
        <v>-0.82456079999999998</v>
      </c>
      <c r="M79">
        <v>-1.7207049999999999</v>
      </c>
      <c r="N79" s="11">
        <f t="shared" si="4"/>
        <v>-0.7091479666666668</v>
      </c>
      <c r="O79" s="11">
        <f t="shared" si="5"/>
        <v>0.16527063333333336</v>
      </c>
      <c r="P79" s="11">
        <f t="shared" si="6"/>
        <v>5.2828299999999974E-2</v>
      </c>
      <c r="Q79" s="11">
        <f t="shared" si="7"/>
        <v>-1.7730950000000003</v>
      </c>
    </row>
    <row r="80" spans="1:17" x14ac:dyDescent="0.25">
      <c r="A80">
        <v>1979</v>
      </c>
      <c r="B80">
        <v>-2.0156040000000002</v>
      </c>
      <c r="C80">
        <v>-1.5829759999999999</v>
      </c>
      <c r="D80">
        <v>-1.100862</v>
      </c>
      <c r="E80">
        <v>-1.709975</v>
      </c>
      <c r="F80">
        <v>0.40398319999999999</v>
      </c>
      <c r="G80">
        <v>-1.8514569999999999</v>
      </c>
      <c r="H80">
        <v>0.52410440000000003</v>
      </c>
      <c r="I80">
        <v>1.965746</v>
      </c>
      <c r="J80">
        <v>0.13925999999999999</v>
      </c>
      <c r="K80">
        <v>1.2715479999999999</v>
      </c>
      <c r="L80">
        <v>1.05003</v>
      </c>
      <c r="M80">
        <v>0.48038389999999997</v>
      </c>
      <c r="N80" s="11">
        <f t="shared" si="4"/>
        <v>-0.80228460000000013</v>
      </c>
      <c r="O80" s="11">
        <f t="shared" si="5"/>
        <v>0.21279780000000006</v>
      </c>
      <c r="P80" s="11">
        <f t="shared" si="6"/>
        <v>0.82027933333333325</v>
      </c>
      <c r="Q80" s="11">
        <f t="shared" si="7"/>
        <v>0.47238696666666674</v>
      </c>
    </row>
    <row r="81" spans="1:17" x14ac:dyDescent="0.25">
      <c r="A81">
        <v>1980</v>
      </c>
      <c r="B81">
        <v>-1.217692</v>
      </c>
      <c r="C81">
        <v>2.1544690000000002</v>
      </c>
      <c r="D81">
        <v>-0.36260160000000002</v>
      </c>
      <c r="E81">
        <v>1.9059440000000001</v>
      </c>
      <c r="F81">
        <v>1.101515</v>
      </c>
      <c r="G81">
        <v>0.19632060000000001</v>
      </c>
      <c r="H81">
        <v>0.12204329999999999</v>
      </c>
      <c r="I81">
        <v>1.3915120000000001</v>
      </c>
      <c r="J81">
        <v>-0.75149270000000001</v>
      </c>
      <c r="K81">
        <v>-1.9475800000000001</v>
      </c>
      <c r="L81">
        <v>0.9617848</v>
      </c>
      <c r="M81">
        <v>0.45125949999999998</v>
      </c>
      <c r="N81" s="11">
        <f t="shared" si="4"/>
        <v>0.88161913333333342</v>
      </c>
      <c r="O81" s="11">
        <f t="shared" si="5"/>
        <v>0.56995863333333341</v>
      </c>
      <c r="P81" s="11">
        <f t="shared" si="6"/>
        <v>-0.57909596666666674</v>
      </c>
      <c r="Q81" s="11">
        <f t="shared" si="7"/>
        <v>0.21461516666666661</v>
      </c>
    </row>
    <row r="82" spans="1:17" x14ac:dyDescent="0.25">
      <c r="A82">
        <v>1981</v>
      </c>
      <c r="B82">
        <v>1.2174149999999999</v>
      </c>
      <c r="C82">
        <v>-1.024829</v>
      </c>
      <c r="D82">
        <v>0.1231019</v>
      </c>
      <c r="E82">
        <v>0.35219889999999998</v>
      </c>
      <c r="F82">
        <v>2.1684359999999998</v>
      </c>
      <c r="G82">
        <v>-0.28886149999999999</v>
      </c>
      <c r="H82">
        <v>-0.66173230000000005</v>
      </c>
      <c r="I82">
        <v>-1.280119</v>
      </c>
      <c r="J82">
        <v>1.7750600000000001</v>
      </c>
      <c r="K82">
        <v>-0.40548010000000001</v>
      </c>
      <c r="L82">
        <v>-0.71289930000000001</v>
      </c>
      <c r="M82">
        <v>-0.65249080000000004</v>
      </c>
      <c r="N82" s="11">
        <f t="shared" si="4"/>
        <v>0.88124559999999985</v>
      </c>
      <c r="O82" s="11">
        <f t="shared" si="5"/>
        <v>-0.74357093333333335</v>
      </c>
      <c r="P82" s="11">
        <f t="shared" si="6"/>
        <v>0.21889353333333339</v>
      </c>
      <c r="Q82" s="11">
        <f t="shared" si="7"/>
        <v>-6.9928210000000032E-2</v>
      </c>
    </row>
    <row r="83" spans="1:17" x14ac:dyDescent="0.25">
      <c r="A83">
        <v>1982</v>
      </c>
      <c r="B83">
        <v>-2.078853E-2</v>
      </c>
      <c r="C83">
        <v>0.46349469999999998</v>
      </c>
      <c r="D83">
        <v>-0.21397579999999999</v>
      </c>
      <c r="E83">
        <v>-1.353351</v>
      </c>
      <c r="F83">
        <v>1.0724100000000001</v>
      </c>
      <c r="G83">
        <v>1.0848610000000001</v>
      </c>
      <c r="H83">
        <v>0.91502399999999995</v>
      </c>
      <c r="I83">
        <v>0.59073279999999995</v>
      </c>
      <c r="J83">
        <v>1.328579</v>
      </c>
      <c r="K83">
        <v>0.79567750000000004</v>
      </c>
      <c r="L83">
        <v>0.72342530000000005</v>
      </c>
      <c r="M83">
        <v>-1.424115</v>
      </c>
      <c r="N83" s="11">
        <f t="shared" si="4"/>
        <v>-0.16497226666666664</v>
      </c>
      <c r="O83" s="11">
        <f t="shared" si="5"/>
        <v>0.86353926666666669</v>
      </c>
      <c r="P83" s="11">
        <f t="shared" si="6"/>
        <v>0.94922726666666668</v>
      </c>
      <c r="Q83" s="11">
        <f t="shared" si="7"/>
        <v>-0.85386246666666665</v>
      </c>
    </row>
    <row r="84" spans="1:17" x14ac:dyDescent="0.25">
      <c r="A84">
        <v>1983</v>
      </c>
      <c r="B84">
        <v>-0.89387629999999996</v>
      </c>
      <c r="C84">
        <v>-0.24359610000000001</v>
      </c>
      <c r="D84">
        <v>-0.6210194</v>
      </c>
      <c r="E84">
        <v>0.7088333</v>
      </c>
      <c r="F84">
        <v>-1.03973</v>
      </c>
      <c r="G84">
        <v>2.5354519999999998E-2</v>
      </c>
      <c r="H84">
        <v>0.36967939999999999</v>
      </c>
      <c r="I84">
        <v>-1.7454190000000001</v>
      </c>
      <c r="J84">
        <v>1.7790060000000001</v>
      </c>
      <c r="K84">
        <v>-0.34689379999999997</v>
      </c>
      <c r="L84">
        <v>-2.2366299999999999</v>
      </c>
      <c r="M84">
        <v>-1.832239</v>
      </c>
      <c r="N84" s="11">
        <f t="shared" si="4"/>
        <v>-0.3173053666666667</v>
      </c>
      <c r="O84" s="11">
        <f t="shared" si="5"/>
        <v>-0.45012836000000006</v>
      </c>
      <c r="P84" s="11">
        <f t="shared" si="6"/>
        <v>-0.26817259999999993</v>
      </c>
      <c r="Q84" s="11">
        <f t="shared" si="7"/>
        <v>3.5229666666666639E-3</v>
      </c>
    </row>
    <row r="85" spans="1:17" x14ac:dyDescent="0.25">
      <c r="A85">
        <v>1984</v>
      </c>
      <c r="B85">
        <v>0.34418589999999999</v>
      </c>
      <c r="C85">
        <v>1.4986219999999999</v>
      </c>
      <c r="D85">
        <v>1.480407</v>
      </c>
      <c r="E85">
        <v>-0.32775749999999998</v>
      </c>
      <c r="F85">
        <v>1.206742</v>
      </c>
      <c r="G85">
        <v>-0.20013230000000001</v>
      </c>
      <c r="H85">
        <v>0.4466696</v>
      </c>
      <c r="I85">
        <v>-1.830012</v>
      </c>
      <c r="J85">
        <v>-0.1235709</v>
      </c>
      <c r="K85">
        <v>2.2725070000000001</v>
      </c>
      <c r="L85">
        <v>-8.3842689999999997E-2</v>
      </c>
      <c r="M85">
        <v>1.3936059999999999</v>
      </c>
      <c r="N85" s="11">
        <f t="shared" si="4"/>
        <v>0.78646383333333336</v>
      </c>
      <c r="O85" s="11">
        <f t="shared" si="5"/>
        <v>-0.52782490000000004</v>
      </c>
      <c r="P85" s="11">
        <f t="shared" si="6"/>
        <v>0.68836447000000012</v>
      </c>
      <c r="Q85" s="11">
        <f t="shared" si="7"/>
        <v>0.67281714666666659</v>
      </c>
    </row>
    <row r="86" spans="1:17" x14ac:dyDescent="0.25">
      <c r="A86">
        <v>1985</v>
      </c>
      <c r="B86">
        <v>-4.8320059999999998E-2</v>
      </c>
      <c r="C86">
        <v>0.67316549999999997</v>
      </c>
      <c r="D86">
        <v>0.64869299999999996</v>
      </c>
      <c r="E86">
        <v>0.32457000000000003</v>
      </c>
      <c r="F86">
        <v>1.387478</v>
      </c>
      <c r="G86">
        <v>-0.90545569999999997</v>
      </c>
      <c r="H86">
        <v>-1.3121609999999999</v>
      </c>
      <c r="I86">
        <v>-1.761344</v>
      </c>
      <c r="J86">
        <v>-0.98863520000000005</v>
      </c>
      <c r="K86">
        <v>-0.69523990000000002</v>
      </c>
      <c r="L86">
        <v>-0.6798244</v>
      </c>
      <c r="M86">
        <v>-0.95763019999999999</v>
      </c>
      <c r="N86" s="11">
        <f t="shared" si="4"/>
        <v>0.78691366666666662</v>
      </c>
      <c r="O86" s="11">
        <f t="shared" si="5"/>
        <v>-1.3263202333333333</v>
      </c>
      <c r="P86" s="11">
        <f t="shared" si="6"/>
        <v>-0.78789983333333335</v>
      </c>
      <c r="Q86" s="11">
        <f t="shared" si="7"/>
        <v>0.11668293333333331</v>
      </c>
    </row>
    <row r="87" spans="1:17" x14ac:dyDescent="0.25">
      <c r="A87">
        <v>1986</v>
      </c>
      <c r="B87">
        <v>0.24044099999999999</v>
      </c>
      <c r="C87">
        <v>1.0672379999999999</v>
      </c>
      <c r="D87">
        <v>8.4057259999999995E-2</v>
      </c>
      <c r="E87">
        <v>0.56524569999999996</v>
      </c>
      <c r="F87">
        <v>-0.1670615</v>
      </c>
      <c r="G87">
        <v>-7.1459790000000002E-3</v>
      </c>
      <c r="H87">
        <v>-1.9394290000000001</v>
      </c>
      <c r="I87">
        <v>-0.14995149999999999</v>
      </c>
      <c r="J87">
        <v>-1.002704</v>
      </c>
      <c r="K87">
        <v>-0.2618219</v>
      </c>
      <c r="L87">
        <v>1.698264</v>
      </c>
      <c r="M87">
        <v>-1.133451</v>
      </c>
      <c r="N87" s="11">
        <f t="shared" si="4"/>
        <v>0.16074715333333334</v>
      </c>
      <c r="O87" s="11">
        <f t="shared" si="5"/>
        <v>-0.69884215966666663</v>
      </c>
      <c r="P87" s="11">
        <f t="shared" si="6"/>
        <v>0.14457936666666668</v>
      </c>
      <c r="Q87" s="11">
        <f t="shared" si="7"/>
        <v>-0.71943276666666678</v>
      </c>
    </row>
    <row r="88" spans="1:17" x14ac:dyDescent="0.25">
      <c r="A88">
        <v>1987</v>
      </c>
      <c r="B88">
        <v>-1.2806090000000001</v>
      </c>
      <c r="C88">
        <v>0.25576169999999998</v>
      </c>
      <c r="D88">
        <v>1.506432</v>
      </c>
      <c r="E88">
        <v>-0.3964859</v>
      </c>
      <c r="F88">
        <v>-1.2619940000000001</v>
      </c>
      <c r="G88">
        <v>-1.0009209999999999</v>
      </c>
      <c r="H88">
        <v>1.2041710000000001</v>
      </c>
      <c r="I88">
        <v>0.58941330000000003</v>
      </c>
      <c r="J88">
        <v>-0.67797830000000003</v>
      </c>
      <c r="K88">
        <v>1.010292</v>
      </c>
      <c r="L88">
        <v>-6.0184590000000003E-2</v>
      </c>
      <c r="M88">
        <v>-0.19042020000000001</v>
      </c>
      <c r="N88" s="11">
        <f t="shared" si="4"/>
        <v>-5.0682633333333373E-2</v>
      </c>
      <c r="O88" s="11">
        <f t="shared" si="5"/>
        <v>0.26422110000000004</v>
      </c>
      <c r="P88" s="11">
        <f t="shared" si="6"/>
        <v>9.0709703333333322E-2</v>
      </c>
      <c r="Q88" s="11">
        <f t="shared" si="7"/>
        <v>-0.64489466666666673</v>
      </c>
    </row>
    <row r="89" spans="1:17" x14ac:dyDescent="0.25">
      <c r="A89">
        <v>1988</v>
      </c>
      <c r="B89">
        <v>0.29261920000000002</v>
      </c>
      <c r="C89">
        <v>-2.036883</v>
      </c>
      <c r="D89">
        <v>-0.11018500000000001</v>
      </c>
      <c r="E89">
        <v>-0.83853109999999997</v>
      </c>
      <c r="F89">
        <v>-1.4405079999999999</v>
      </c>
      <c r="G89">
        <v>0.26105699999999998</v>
      </c>
      <c r="H89">
        <v>-2.217444</v>
      </c>
      <c r="I89">
        <v>-9.592647E-2</v>
      </c>
      <c r="J89">
        <v>-1.120544</v>
      </c>
      <c r="K89">
        <v>1.0124059999999999</v>
      </c>
      <c r="L89">
        <v>-1.4190769999999999</v>
      </c>
      <c r="M89">
        <v>0.48564459999999998</v>
      </c>
      <c r="N89" s="11">
        <f t="shared" si="4"/>
        <v>-0.79640803333333332</v>
      </c>
      <c r="O89" s="11">
        <f t="shared" si="5"/>
        <v>-0.68410449000000007</v>
      </c>
      <c r="P89" s="11">
        <f t="shared" si="6"/>
        <v>-0.5090716666666667</v>
      </c>
      <c r="Q89" s="11">
        <f t="shared" si="7"/>
        <v>-0.32646986666666672</v>
      </c>
    </row>
    <row r="90" spans="1:17" x14ac:dyDescent="0.25">
      <c r="A90">
        <v>1989</v>
      </c>
      <c r="B90">
        <v>-0.66631510000000005</v>
      </c>
      <c r="C90">
        <v>-0.79873910000000004</v>
      </c>
      <c r="D90">
        <v>-0.99497559999999996</v>
      </c>
      <c r="E90">
        <v>-0.58160000000000001</v>
      </c>
      <c r="F90">
        <v>-2.232847</v>
      </c>
      <c r="G90">
        <v>0.1572828</v>
      </c>
      <c r="H90">
        <v>0.28174840000000001</v>
      </c>
      <c r="I90">
        <v>0.29119800000000001</v>
      </c>
      <c r="J90">
        <v>-1.1652560000000001</v>
      </c>
      <c r="K90">
        <v>-1.6603129999999999</v>
      </c>
      <c r="L90">
        <v>-1.136244</v>
      </c>
      <c r="M90">
        <v>0.97202299999999997</v>
      </c>
      <c r="N90" s="11">
        <f t="shared" si="4"/>
        <v>-1.2698075333333334</v>
      </c>
      <c r="O90" s="11">
        <f t="shared" si="5"/>
        <v>0.24340973333333335</v>
      </c>
      <c r="P90" s="11">
        <f t="shared" si="6"/>
        <v>-1.3206043333333333</v>
      </c>
      <c r="Q90" s="11">
        <f t="shared" si="7"/>
        <v>0.84013283333333322</v>
      </c>
    </row>
    <row r="91" spans="1:17" x14ac:dyDescent="0.25">
      <c r="A91">
        <v>1990</v>
      </c>
      <c r="B91">
        <v>0.67651090000000003</v>
      </c>
      <c r="C91">
        <v>0.87186459999999999</v>
      </c>
      <c r="D91">
        <v>0.82761379999999996</v>
      </c>
      <c r="E91">
        <v>1.4544539999999999</v>
      </c>
      <c r="F91">
        <v>-0.124329</v>
      </c>
      <c r="G91">
        <v>0.20634169999999999</v>
      </c>
      <c r="H91">
        <v>-1.42435</v>
      </c>
      <c r="I91">
        <v>-1.0433079999999999</v>
      </c>
      <c r="J91">
        <v>1.881092</v>
      </c>
      <c r="K91">
        <v>-2.8088330000000002E-2</v>
      </c>
      <c r="L91">
        <v>-0.6305904</v>
      </c>
      <c r="M91">
        <v>-0.65934380000000004</v>
      </c>
      <c r="N91" s="11">
        <f t="shared" si="4"/>
        <v>0.71924626666666669</v>
      </c>
      <c r="O91" s="11">
        <f t="shared" si="5"/>
        <v>-0.75377209999999994</v>
      </c>
      <c r="P91" s="11">
        <f t="shared" si="6"/>
        <v>0.40747108999999998</v>
      </c>
      <c r="Q91" s="11">
        <f t="shared" si="7"/>
        <v>-0.41201559999999998</v>
      </c>
    </row>
    <row r="92" spans="1:17" x14ac:dyDescent="0.25">
      <c r="A92">
        <v>1991</v>
      </c>
      <c r="B92">
        <v>0.4203402</v>
      </c>
      <c r="C92">
        <v>-0.99704320000000002</v>
      </c>
      <c r="D92">
        <v>-0.28783530000000002</v>
      </c>
      <c r="E92">
        <v>-0.56415649999999995</v>
      </c>
      <c r="F92">
        <v>0.95094469999999998</v>
      </c>
      <c r="G92">
        <v>-0.24305470000000001</v>
      </c>
      <c r="H92">
        <v>0.23364280000000001</v>
      </c>
      <c r="I92">
        <v>-0.92337429999999998</v>
      </c>
      <c r="J92">
        <v>0.77700449999999999</v>
      </c>
      <c r="K92">
        <v>-9.2673469999999994E-2</v>
      </c>
      <c r="L92">
        <v>-0.61971189999999998</v>
      </c>
      <c r="M92">
        <v>2.3429820000000001</v>
      </c>
      <c r="N92" s="11">
        <f t="shared" si="4"/>
        <v>3.2984300000000001E-2</v>
      </c>
      <c r="O92" s="11">
        <f t="shared" si="5"/>
        <v>-0.31092873333333332</v>
      </c>
      <c r="P92" s="11">
        <f t="shared" si="6"/>
        <v>2.153970999999999E-2</v>
      </c>
      <c r="Q92" s="11">
        <f t="shared" si="7"/>
        <v>0.52434003333333334</v>
      </c>
    </row>
    <row r="93" spans="1:17" x14ac:dyDescent="0.25">
      <c r="A93">
        <v>1992</v>
      </c>
      <c r="B93">
        <v>-1.233457</v>
      </c>
      <c r="C93">
        <v>0.46349509999999999</v>
      </c>
      <c r="D93">
        <v>0.80003630000000003</v>
      </c>
      <c r="E93">
        <v>0.21971779999999999</v>
      </c>
      <c r="F93">
        <v>0.75944420000000001</v>
      </c>
      <c r="G93">
        <v>0.76573069999999999</v>
      </c>
      <c r="H93">
        <v>-1.3879950000000001</v>
      </c>
      <c r="I93">
        <v>-0.40415719999999999</v>
      </c>
      <c r="J93">
        <v>0.77272580000000002</v>
      </c>
      <c r="K93">
        <v>1.7266999999999999</v>
      </c>
      <c r="L93">
        <v>-0.37097400000000003</v>
      </c>
      <c r="M93">
        <v>-0.21931990000000001</v>
      </c>
      <c r="N93" s="11">
        <f t="shared" si="4"/>
        <v>0.59306610000000004</v>
      </c>
      <c r="O93" s="11">
        <f t="shared" si="5"/>
        <v>-0.34214050000000001</v>
      </c>
      <c r="P93" s="11">
        <f t="shared" si="6"/>
        <v>0.70948393333333337</v>
      </c>
      <c r="Q93" s="11">
        <f t="shared" si="7"/>
        <v>-0.48774669999999998</v>
      </c>
    </row>
    <row r="94" spans="1:17" x14ac:dyDescent="0.25">
      <c r="A94">
        <v>1993</v>
      </c>
      <c r="B94">
        <v>-0.31623449999999997</v>
      </c>
      <c r="C94">
        <v>-0.92768569999999995</v>
      </c>
      <c r="D94">
        <v>1.753158</v>
      </c>
      <c r="E94">
        <v>0.57225369999999998</v>
      </c>
      <c r="F94">
        <v>2.6652840000000001E-2</v>
      </c>
      <c r="G94">
        <v>1.7554479999999999</v>
      </c>
      <c r="H94">
        <v>0.85627180000000003</v>
      </c>
      <c r="I94">
        <v>-1.2437400000000001</v>
      </c>
      <c r="J94">
        <v>-0.94638750000000005</v>
      </c>
      <c r="K94">
        <v>0.90145960000000003</v>
      </c>
      <c r="L94">
        <v>0.461121</v>
      </c>
      <c r="M94">
        <v>0.79582180000000002</v>
      </c>
      <c r="N94" s="11">
        <f t="shared" si="4"/>
        <v>0.78402151333333336</v>
      </c>
      <c r="O94" s="11">
        <f t="shared" si="5"/>
        <v>0.45599326666666662</v>
      </c>
      <c r="P94" s="11">
        <f t="shared" si="6"/>
        <v>0.13873103333333334</v>
      </c>
      <c r="Q94" s="11">
        <f t="shared" si="7"/>
        <v>-0.1915930333333333</v>
      </c>
    </row>
    <row r="95" spans="1:17" x14ac:dyDescent="0.25">
      <c r="A95">
        <v>1994</v>
      </c>
      <c r="B95">
        <v>-0.69077409999999995</v>
      </c>
      <c r="C95">
        <v>-0.67982679999999995</v>
      </c>
      <c r="D95">
        <v>-0.58417090000000005</v>
      </c>
      <c r="E95">
        <v>-0.2935719</v>
      </c>
      <c r="F95">
        <v>0.18844320000000001</v>
      </c>
      <c r="G95">
        <v>0.25611119999999998</v>
      </c>
      <c r="H95">
        <v>0.47230729999999999</v>
      </c>
      <c r="I95">
        <v>-1.254424</v>
      </c>
      <c r="J95">
        <v>1.097064</v>
      </c>
      <c r="K95">
        <v>0.3592438</v>
      </c>
      <c r="L95">
        <v>1.0555589999999999</v>
      </c>
      <c r="M95">
        <v>0.44592920000000003</v>
      </c>
      <c r="N95" s="11">
        <f t="shared" si="4"/>
        <v>-0.22976653333333333</v>
      </c>
      <c r="O95" s="11">
        <f t="shared" si="5"/>
        <v>-0.17533516666666668</v>
      </c>
      <c r="P95" s="11">
        <f t="shared" si="6"/>
        <v>0.83728893333333332</v>
      </c>
      <c r="Q95" s="11">
        <f t="shared" si="7"/>
        <v>0.1718667666666667</v>
      </c>
    </row>
    <row r="96" spans="1:17" x14ac:dyDescent="0.25">
      <c r="A96">
        <v>1995</v>
      </c>
      <c r="B96">
        <v>0.73584020000000006</v>
      </c>
      <c r="C96">
        <v>-0.66616909999999996</v>
      </c>
      <c r="D96">
        <v>-0.86693719999999996</v>
      </c>
      <c r="E96">
        <v>0.47501339999999997</v>
      </c>
      <c r="F96">
        <v>-0.86137339999999996</v>
      </c>
      <c r="G96">
        <v>1.189381</v>
      </c>
      <c r="H96">
        <v>2.2494589999999998E-2</v>
      </c>
      <c r="I96">
        <v>0.63895389999999996</v>
      </c>
      <c r="J96">
        <v>-0.27979330000000002</v>
      </c>
      <c r="K96">
        <v>0.4623797</v>
      </c>
      <c r="L96">
        <v>-0.40715040000000002</v>
      </c>
      <c r="M96">
        <v>-1.641834</v>
      </c>
      <c r="N96" s="11">
        <f t="shared" si="4"/>
        <v>-0.41776573333333333</v>
      </c>
      <c r="O96" s="11">
        <f t="shared" si="5"/>
        <v>0.61694316333333332</v>
      </c>
      <c r="P96" s="11">
        <f t="shared" si="6"/>
        <v>-7.485466666666668E-2</v>
      </c>
      <c r="Q96" s="11">
        <f t="shared" si="7"/>
        <v>-0.58329836666666668</v>
      </c>
    </row>
    <row r="97" spans="1:17" x14ac:dyDescent="0.25">
      <c r="A97">
        <v>1996</v>
      </c>
      <c r="B97">
        <v>-0.3445764</v>
      </c>
      <c r="C97">
        <v>0.23651530000000001</v>
      </c>
      <c r="D97">
        <v>0.75414380000000003</v>
      </c>
      <c r="E97">
        <v>2.0757080000000001E-2</v>
      </c>
      <c r="F97">
        <v>-0.42164360000000001</v>
      </c>
      <c r="G97">
        <v>-1.361416</v>
      </c>
      <c r="H97">
        <v>-1.5407759999999999</v>
      </c>
      <c r="I97">
        <v>-1.228256E-2</v>
      </c>
      <c r="J97">
        <v>-1.4227609999999999</v>
      </c>
      <c r="K97">
        <v>3.2298260000000002E-2</v>
      </c>
      <c r="L97">
        <v>0.59125059999999996</v>
      </c>
      <c r="M97">
        <v>0.76571460000000002</v>
      </c>
      <c r="N97" s="11">
        <f t="shared" ref="N97:N122" si="8">IF(AND(ISNUMBER(D97),ISNUMBER(E97),ISNUMBER(F97)),AVERAGE(D97:F97),"")</f>
        <v>0.11775242666666667</v>
      </c>
      <c r="O97" s="11">
        <f t="shared" ref="O97:O122" si="9">IF(AND(ISNUMBER(G97),ISNUMBER(H97),ISNUMBER(I97)),AVERAGE(G97:I97),"")</f>
        <v>-0.97149151999999994</v>
      </c>
      <c r="P97" s="11">
        <f t="shared" ref="P97:P122" si="10">IF(AND(ISNUMBER(J97),ISNUMBER(K97),ISNUMBER(L97)),AVERAGE(J97:L97),"")</f>
        <v>-0.26640404666666667</v>
      </c>
      <c r="Q97" s="11">
        <f t="shared" ref="Q97:Q122" si="11">IF(AND(ISNUMBER(M97),ISNUMBER(B98),ISNUMBER(C98)),AVERAGE(M97,B98:C98),"")</f>
        <v>0.8190415666666665</v>
      </c>
    </row>
    <row r="98" spans="1:17" x14ac:dyDescent="0.25">
      <c r="A98">
        <v>1997</v>
      </c>
      <c r="B98">
        <v>1.5488249999999999</v>
      </c>
      <c r="C98">
        <v>0.14258509999999999</v>
      </c>
      <c r="D98">
        <v>0.2094345</v>
      </c>
      <c r="E98">
        <v>1.728658</v>
      </c>
      <c r="F98">
        <v>-0.75606450000000003</v>
      </c>
      <c r="G98">
        <v>0.46802539999999998</v>
      </c>
      <c r="H98">
        <v>0.78088310000000005</v>
      </c>
      <c r="I98">
        <v>-4.7864990000000003E-2</v>
      </c>
      <c r="J98">
        <v>0.58892710000000004</v>
      </c>
      <c r="K98">
        <v>1.2842610000000001</v>
      </c>
      <c r="L98">
        <v>1.399432</v>
      </c>
      <c r="M98">
        <v>0.27256330000000001</v>
      </c>
      <c r="N98" s="11">
        <f t="shared" si="8"/>
        <v>0.39400933333333327</v>
      </c>
      <c r="O98" s="11">
        <f t="shared" si="9"/>
        <v>0.40034783666666662</v>
      </c>
      <c r="P98" s="11">
        <f t="shared" si="10"/>
        <v>1.0908733666666668</v>
      </c>
      <c r="Q98" s="11">
        <f t="shared" si="11"/>
        <v>-0.13269846666666671</v>
      </c>
    </row>
    <row r="99" spans="1:17" x14ac:dyDescent="0.25">
      <c r="A99">
        <v>1998</v>
      </c>
      <c r="B99">
        <v>0.35880329999999999</v>
      </c>
      <c r="C99">
        <v>-1.0294620000000001</v>
      </c>
      <c r="D99">
        <v>-0.66910670000000005</v>
      </c>
      <c r="E99">
        <v>0.84494809999999998</v>
      </c>
      <c r="F99">
        <v>-0.75413529999999995</v>
      </c>
      <c r="G99">
        <v>-1.5209440000000001</v>
      </c>
      <c r="H99">
        <v>-1.15103</v>
      </c>
      <c r="I99">
        <v>-0.86820090000000005</v>
      </c>
      <c r="J99">
        <v>-0.79673419999999995</v>
      </c>
      <c r="K99">
        <v>-1.7822739999999999</v>
      </c>
      <c r="L99">
        <v>-0.93831120000000001</v>
      </c>
      <c r="M99">
        <v>-0.53673579999999999</v>
      </c>
      <c r="N99" s="11">
        <f t="shared" si="8"/>
        <v>-0.19276463333333335</v>
      </c>
      <c r="O99" s="11">
        <f t="shared" si="9"/>
        <v>-1.1800583</v>
      </c>
      <c r="P99" s="11">
        <f t="shared" si="10"/>
        <v>-1.1724398</v>
      </c>
      <c r="Q99" s="11">
        <f t="shared" si="11"/>
        <v>-0.84256019999999998</v>
      </c>
    </row>
    <row r="100" spans="1:17" x14ac:dyDescent="0.25">
      <c r="A100">
        <v>1999</v>
      </c>
      <c r="B100">
        <v>-1.5588029999999999</v>
      </c>
      <c r="C100">
        <v>-0.43214180000000002</v>
      </c>
      <c r="D100">
        <v>0.19360810000000001</v>
      </c>
      <c r="E100">
        <v>-0.99930719999999995</v>
      </c>
      <c r="F100">
        <v>-0.4467025</v>
      </c>
      <c r="G100">
        <v>1.228084</v>
      </c>
      <c r="H100">
        <v>-0.55943690000000001</v>
      </c>
      <c r="I100">
        <v>1.0087710000000001</v>
      </c>
      <c r="J100">
        <v>1.134099</v>
      </c>
      <c r="K100">
        <v>-0.86195929999999998</v>
      </c>
      <c r="L100">
        <v>-0.15587989999999999</v>
      </c>
      <c r="M100">
        <v>-0.33320630000000001</v>
      </c>
      <c r="N100" s="11">
        <f t="shared" si="8"/>
        <v>-0.41746719999999998</v>
      </c>
      <c r="O100" s="11">
        <f t="shared" si="9"/>
        <v>0.55913936666666675</v>
      </c>
      <c r="P100" s="11">
        <f t="shared" si="10"/>
        <v>3.8753266666666668E-2</v>
      </c>
      <c r="Q100" s="11">
        <f t="shared" si="11"/>
        <v>0.25341339999999996</v>
      </c>
    </row>
    <row r="101" spans="1:17" x14ac:dyDescent="0.25">
      <c r="A101">
        <v>2000</v>
      </c>
      <c r="B101">
        <v>-0.89387649999999996</v>
      </c>
      <c r="C101">
        <v>1.987323</v>
      </c>
      <c r="D101">
        <v>-0.70251079999999999</v>
      </c>
      <c r="E101">
        <v>-0.25385449999999998</v>
      </c>
      <c r="F101">
        <v>-0.98499749999999997</v>
      </c>
      <c r="G101">
        <v>1.6917679999999999</v>
      </c>
      <c r="H101">
        <v>0.70856430000000004</v>
      </c>
      <c r="I101">
        <v>-0.2950429</v>
      </c>
      <c r="J101">
        <v>1.4279839999999999</v>
      </c>
      <c r="K101">
        <v>1.459098</v>
      </c>
      <c r="L101">
        <v>0.70994170000000001</v>
      </c>
      <c r="M101">
        <v>0.5402361</v>
      </c>
      <c r="N101" s="11">
        <f t="shared" si="8"/>
        <v>-0.64712093333333331</v>
      </c>
      <c r="O101" s="11">
        <f t="shared" si="9"/>
        <v>0.7017631333333334</v>
      </c>
      <c r="P101" s="11">
        <f t="shared" si="10"/>
        <v>1.1990079</v>
      </c>
      <c r="Q101" s="11">
        <f t="shared" si="11"/>
        <v>0.80140032333333344</v>
      </c>
    </row>
    <row r="102" spans="1:17" x14ac:dyDescent="0.25">
      <c r="A102">
        <v>2001</v>
      </c>
      <c r="B102">
        <v>1.89995</v>
      </c>
      <c r="C102">
        <v>-3.5985129999999997E-2</v>
      </c>
      <c r="D102">
        <v>0.89382519999999999</v>
      </c>
      <c r="E102">
        <v>-1.2175560000000001</v>
      </c>
      <c r="F102">
        <v>1.300861</v>
      </c>
      <c r="G102">
        <v>0.49946249999999998</v>
      </c>
      <c r="H102">
        <v>1.665943</v>
      </c>
      <c r="I102">
        <v>-7.2319940000000003E-3</v>
      </c>
      <c r="J102">
        <v>-0.37144680000000002</v>
      </c>
      <c r="K102">
        <v>-0.33319369999999998</v>
      </c>
      <c r="L102">
        <v>-0.1949438</v>
      </c>
      <c r="M102">
        <v>-2.2448899999999998</v>
      </c>
      <c r="N102" s="11">
        <f t="shared" si="8"/>
        <v>0.32571006666666663</v>
      </c>
      <c r="O102" s="11">
        <f t="shared" si="9"/>
        <v>0.71939116866666664</v>
      </c>
      <c r="P102" s="11">
        <f t="shared" si="10"/>
        <v>-0.29986143333333332</v>
      </c>
      <c r="Q102" s="11">
        <f t="shared" si="11"/>
        <v>-1.0637048666666666</v>
      </c>
    </row>
    <row r="103" spans="1:17" x14ac:dyDescent="0.25">
      <c r="A103">
        <v>2002</v>
      </c>
      <c r="B103">
        <v>-1.4168689999999999</v>
      </c>
      <c r="C103">
        <v>0.47064440000000002</v>
      </c>
      <c r="D103">
        <v>1.341899</v>
      </c>
      <c r="E103">
        <v>0.51571579999999995</v>
      </c>
      <c r="F103">
        <v>1.059887</v>
      </c>
      <c r="G103">
        <v>-0.73558069999999998</v>
      </c>
      <c r="H103">
        <v>-1.3151969999999999</v>
      </c>
      <c r="I103">
        <v>0.36696679999999998</v>
      </c>
      <c r="J103">
        <v>1.5270630000000001</v>
      </c>
      <c r="K103">
        <v>2.0893190000000001</v>
      </c>
      <c r="L103">
        <v>1.8277220000000001</v>
      </c>
      <c r="M103">
        <v>-0.10159219999999999</v>
      </c>
      <c r="N103" s="11">
        <f t="shared" si="8"/>
        <v>0.97250060000000005</v>
      </c>
      <c r="O103" s="11">
        <f t="shared" si="9"/>
        <v>-0.5612703</v>
      </c>
      <c r="P103" s="11">
        <f t="shared" si="10"/>
        <v>1.8147013333333335</v>
      </c>
      <c r="Q103" s="11">
        <f t="shared" si="11"/>
        <v>-0.22219336666666664</v>
      </c>
    </row>
    <row r="104" spans="1:17" x14ac:dyDescent="0.25">
      <c r="A104">
        <v>2003</v>
      </c>
      <c r="B104">
        <v>9.2084600000000003E-2</v>
      </c>
      <c r="C104">
        <v>-0.65707249999999995</v>
      </c>
      <c r="D104">
        <v>-0.83317180000000002</v>
      </c>
      <c r="E104">
        <v>-0.65150520000000001</v>
      </c>
      <c r="F104">
        <v>-1.53525</v>
      </c>
      <c r="G104">
        <v>1.111686</v>
      </c>
      <c r="H104">
        <v>-0.45791999999999999</v>
      </c>
      <c r="I104">
        <v>-0.66971460000000005</v>
      </c>
      <c r="J104">
        <v>0.37841780000000003</v>
      </c>
      <c r="K104">
        <v>-5.7024320000000003E-2</v>
      </c>
      <c r="L104">
        <v>1.3504989999999999</v>
      </c>
      <c r="M104">
        <v>1.171832</v>
      </c>
      <c r="N104" s="11">
        <f t="shared" si="8"/>
        <v>-1.0066423333333334</v>
      </c>
      <c r="O104" s="11">
        <f t="shared" si="9"/>
        <v>-5.3162000000000304E-3</v>
      </c>
      <c r="P104" s="11">
        <f t="shared" si="10"/>
        <v>0.55729749333333334</v>
      </c>
      <c r="Q104" s="11">
        <f t="shared" si="11"/>
        <v>-0.717804</v>
      </c>
    </row>
    <row r="105" spans="1:17" x14ac:dyDescent="0.25">
      <c r="A105">
        <v>2004</v>
      </c>
      <c r="B105">
        <v>-1.424596</v>
      </c>
      <c r="C105">
        <v>-1.9006479999999999</v>
      </c>
      <c r="D105">
        <v>-0.36976680000000001</v>
      </c>
      <c r="E105">
        <v>1.929989</v>
      </c>
      <c r="F105">
        <v>-1.4121779999999999</v>
      </c>
      <c r="G105">
        <v>1.714375</v>
      </c>
      <c r="H105">
        <v>0.71411930000000001</v>
      </c>
      <c r="I105">
        <v>-0.86006369999999999</v>
      </c>
      <c r="J105">
        <v>0.18051139999999999</v>
      </c>
      <c r="K105">
        <v>1.289679</v>
      </c>
      <c r="L105">
        <v>0.37101859999999998</v>
      </c>
      <c r="M105">
        <v>-0.14262630000000001</v>
      </c>
      <c r="N105" s="11">
        <f t="shared" si="8"/>
        <v>4.9348066666666655E-2</v>
      </c>
      <c r="O105" s="11">
        <f t="shared" si="9"/>
        <v>0.5228102</v>
      </c>
      <c r="P105" s="11">
        <f t="shared" si="10"/>
        <v>0.61373633333333333</v>
      </c>
      <c r="Q105" s="11">
        <f t="shared" si="11"/>
        <v>-0.84696203333333331</v>
      </c>
    </row>
    <row r="106" spans="1:17" x14ac:dyDescent="0.25">
      <c r="A106">
        <v>2005</v>
      </c>
      <c r="B106">
        <v>-0.1195708</v>
      </c>
      <c r="C106">
        <v>-2.278689</v>
      </c>
      <c r="D106">
        <v>0.97196729999999998</v>
      </c>
      <c r="E106">
        <v>-1.0109840000000001</v>
      </c>
      <c r="F106">
        <v>1.4037249999999999</v>
      </c>
      <c r="G106">
        <v>0.69053850000000006</v>
      </c>
      <c r="H106">
        <v>-0.49663020000000002</v>
      </c>
      <c r="I106">
        <v>0.56551589999999996</v>
      </c>
      <c r="J106">
        <v>-1.092546</v>
      </c>
      <c r="K106">
        <v>0.1133474</v>
      </c>
      <c r="L106">
        <v>1.954987</v>
      </c>
      <c r="M106">
        <v>-0.60124420000000001</v>
      </c>
      <c r="N106" s="11">
        <f t="shared" si="8"/>
        <v>0.45490276666666657</v>
      </c>
      <c r="O106" s="11">
        <f t="shared" si="9"/>
        <v>0.25314140000000002</v>
      </c>
      <c r="P106" s="11">
        <f t="shared" si="10"/>
        <v>0.32526280000000002</v>
      </c>
      <c r="Q106" s="11">
        <f t="shared" si="11"/>
        <v>0.36596578000000002</v>
      </c>
    </row>
    <row r="107" spans="1:17" x14ac:dyDescent="0.25">
      <c r="A107">
        <v>2006</v>
      </c>
      <c r="B107">
        <v>1.714439</v>
      </c>
      <c r="C107">
        <v>-1.5297460000000001E-2</v>
      </c>
      <c r="D107">
        <v>0.3755619</v>
      </c>
      <c r="E107">
        <v>0.84704939999999995</v>
      </c>
      <c r="F107">
        <v>-0.70043500000000003</v>
      </c>
      <c r="G107">
        <v>0.63558099999999995</v>
      </c>
      <c r="H107">
        <v>1.290416</v>
      </c>
      <c r="I107">
        <v>4.116587E-2</v>
      </c>
      <c r="J107">
        <v>0.35883379999999998</v>
      </c>
      <c r="K107">
        <v>0.88797619999999999</v>
      </c>
      <c r="L107">
        <v>-0.26937729999999999</v>
      </c>
      <c r="M107">
        <v>1.659581</v>
      </c>
      <c r="N107" s="11">
        <f t="shared" si="8"/>
        <v>0.17405876666666667</v>
      </c>
      <c r="O107" s="11">
        <f t="shared" si="9"/>
        <v>0.65572095666666663</v>
      </c>
      <c r="P107" s="11">
        <f t="shared" si="10"/>
        <v>0.32581090000000001</v>
      </c>
      <c r="Q107" s="11">
        <f t="shared" si="11"/>
        <v>0.58928446666666667</v>
      </c>
    </row>
    <row r="108" spans="1:17" x14ac:dyDescent="0.25">
      <c r="A108">
        <v>2007</v>
      </c>
      <c r="B108">
        <v>-0.53170450000000002</v>
      </c>
      <c r="C108">
        <v>0.63997689999999996</v>
      </c>
      <c r="D108">
        <v>5.4508010000000003E-2</v>
      </c>
      <c r="E108">
        <v>0.56758359999999997</v>
      </c>
      <c r="F108">
        <v>-1.4143520000000001</v>
      </c>
      <c r="G108">
        <v>-0.76988020000000001</v>
      </c>
      <c r="H108">
        <v>0.25842779999999999</v>
      </c>
      <c r="I108">
        <v>-0.53905899999999995</v>
      </c>
      <c r="J108">
        <v>0.56134669999999998</v>
      </c>
      <c r="K108">
        <v>1.1874549999999999</v>
      </c>
      <c r="L108">
        <v>-0.45412160000000001</v>
      </c>
      <c r="M108">
        <v>-0.62512610000000002</v>
      </c>
      <c r="N108" s="11">
        <f t="shared" si="8"/>
        <v>-0.26408679666666668</v>
      </c>
      <c r="O108" s="11">
        <f t="shared" si="9"/>
        <v>-0.35017046666666668</v>
      </c>
      <c r="P108" s="11">
        <f t="shared" si="10"/>
        <v>0.43156003333333331</v>
      </c>
      <c r="Q108" s="11">
        <f t="shared" si="11"/>
        <v>-1.1036852666666668</v>
      </c>
    </row>
    <row r="109" spans="1:17" x14ac:dyDescent="0.25">
      <c r="A109">
        <v>2008</v>
      </c>
      <c r="B109">
        <v>-0.6866987</v>
      </c>
      <c r="C109">
        <v>-1.999231</v>
      </c>
      <c r="D109">
        <v>-1.4960640000000001</v>
      </c>
      <c r="E109">
        <v>-0.59905759999999997</v>
      </c>
      <c r="F109">
        <v>1.013358</v>
      </c>
      <c r="G109">
        <v>-0.98049989999999998</v>
      </c>
      <c r="H109">
        <v>0.71300940000000002</v>
      </c>
      <c r="I109">
        <v>1.5903750000000001</v>
      </c>
      <c r="J109">
        <v>-1.6298550000000001</v>
      </c>
      <c r="K109">
        <v>-0.92049060000000005</v>
      </c>
      <c r="L109">
        <v>-0.2945275</v>
      </c>
      <c r="M109">
        <v>-1.6633230000000001</v>
      </c>
      <c r="N109" s="11">
        <f t="shared" si="8"/>
        <v>-0.3605878666666667</v>
      </c>
      <c r="O109" s="11">
        <f t="shared" si="9"/>
        <v>0.44096150000000006</v>
      </c>
      <c r="P109" s="11">
        <f t="shared" si="10"/>
        <v>-0.94829103333333331</v>
      </c>
      <c r="Q109" s="11">
        <f t="shared" si="11"/>
        <v>-1.1047667999999999</v>
      </c>
    </row>
    <row r="110" spans="1:17" x14ac:dyDescent="0.25">
      <c r="A110">
        <v>2009</v>
      </c>
      <c r="B110">
        <v>-1.8251539999999999</v>
      </c>
      <c r="C110">
        <v>0.17417659999999999</v>
      </c>
      <c r="D110">
        <v>-0.8894801</v>
      </c>
      <c r="E110">
        <v>-2.8250219999999999E-2</v>
      </c>
      <c r="F110">
        <v>1.133473</v>
      </c>
      <c r="G110">
        <v>-0.7465581</v>
      </c>
      <c r="H110">
        <v>-1.2286090000000001</v>
      </c>
      <c r="I110">
        <v>1.430126</v>
      </c>
      <c r="J110">
        <v>-1.1959310000000001</v>
      </c>
      <c r="K110">
        <v>1.7389049999999999</v>
      </c>
      <c r="L110">
        <v>1.9026879999999999</v>
      </c>
      <c r="M110">
        <v>0.64098160000000004</v>
      </c>
      <c r="N110" s="11">
        <f t="shared" si="8"/>
        <v>7.191422666666665E-2</v>
      </c>
      <c r="O110" s="11">
        <f t="shared" si="9"/>
        <v>-0.18168036666666673</v>
      </c>
      <c r="P110" s="11">
        <f t="shared" si="10"/>
        <v>0.81522066666666648</v>
      </c>
      <c r="Q110" s="11">
        <f t="shared" si="11"/>
        <v>0.73652933333333337</v>
      </c>
    </row>
    <row r="111" spans="1:17" x14ac:dyDescent="0.25">
      <c r="A111">
        <v>2010</v>
      </c>
      <c r="B111">
        <v>0.12669140000000001</v>
      </c>
      <c r="C111">
        <v>1.4419150000000001</v>
      </c>
      <c r="D111">
        <v>-0.54379129999999998</v>
      </c>
      <c r="E111">
        <v>-1.1188180000000001</v>
      </c>
      <c r="F111">
        <v>-1.3775029999999999</v>
      </c>
      <c r="G111">
        <v>0.21384300000000001</v>
      </c>
      <c r="H111">
        <v>-0.65268000000000004</v>
      </c>
      <c r="I111">
        <v>0.15002070000000001</v>
      </c>
      <c r="J111">
        <v>-1.5511950000000001</v>
      </c>
      <c r="K111">
        <v>-0.2416066</v>
      </c>
      <c r="L111">
        <v>0.26045689999999999</v>
      </c>
      <c r="M111">
        <v>0.81869420000000004</v>
      </c>
      <c r="N111" s="11">
        <f t="shared" si="8"/>
        <v>-1.0133707666666667</v>
      </c>
      <c r="O111" s="11">
        <f t="shared" si="9"/>
        <v>-9.6272100000000013E-2</v>
      </c>
      <c r="P111" s="11">
        <f t="shared" si="10"/>
        <v>-0.51078156666666674</v>
      </c>
      <c r="Q111" s="11">
        <f t="shared" si="11"/>
        <v>-8.7427733333333313E-2</v>
      </c>
    </row>
    <row r="112" spans="1:17" x14ac:dyDescent="0.25">
      <c r="A112">
        <v>2011</v>
      </c>
      <c r="B112">
        <v>0.2178976</v>
      </c>
      <c r="C112">
        <v>-1.298875</v>
      </c>
      <c r="D112">
        <v>0.85237989999999997</v>
      </c>
      <c r="E112">
        <v>0.52521419999999996</v>
      </c>
      <c r="F112">
        <v>-1.317321</v>
      </c>
      <c r="G112">
        <v>-1.0036430000000001</v>
      </c>
      <c r="H112">
        <v>-0.38979399999999997</v>
      </c>
      <c r="I112">
        <v>0.26693250000000002</v>
      </c>
      <c r="J112">
        <v>0.62530600000000003</v>
      </c>
      <c r="K112">
        <v>-0.72765849999999999</v>
      </c>
      <c r="L112">
        <v>-0.39160729999999999</v>
      </c>
      <c r="M112">
        <v>-2.1414680000000001</v>
      </c>
      <c r="N112" s="11">
        <f t="shared" si="8"/>
        <v>2.0091033333333359E-2</v>
      </c>
      <c r="O112" s="11">
        <f t="shared" si="9"/>
        <v>-0.37550149999999999</v>
      </c>
      <c r="P112" s="11">
        <f t="shared" si="10"/>
        <v>-0.16465326666666666</v>
      </c>
      <c r="Q112" s="11">
        <f t="shared" si="11"/>
        <v>-0.23928953333333344</v>
      </c>
    </row>
    <row r="113" spans="1:17" x14ac:dyDescent="0.25">
      <c r="A113">
        <v>2012</v>
      </c>
      <c r="B113">
        <v>-0.56841560000000002</v>
      </c>
      <c r="C113">
        <v>1.9920150000000001</v>
      </c>
      <c r="D113">
        <v>-1.3438110000000001</v>
      </c>
      <c r="E113">
        <v>-1.2001599999999999</v>
      </c>
      <c r="F113">
        <v>0.25701659999999998</v>
      </c>
      <c r="G113">
        <v>0.47386919999999999</v>
      </c>
      <c r="H113">
        <v>-0.81771709999999997</v>
      </c>
      <c r="I113">
        <v>-0.54677050000000005</v>
      </c>
      <c r="J113">
        <v>-0.98019060000000002</v>
      </c>
      <c r="K113">
        <v>-1.0161070000000001</v>
      </c>
      <c r="L113">
        <v>-2.0493570000000001</v>
      </c>
      <c r="M113">
        <v>2.082446</v>
      </c>
      <c r="N113" s="11">
        <f t="shared" si="8"/>
        <v>-0.76231813333333331</v>
      </c>
      <c r="O113" s="11">
        <f t="shared" si="9"/>
        <v>-0.29687279999999999</v>
      </c>
      <c r="P113" s="11">
        <f t="shared" si="10"/>
        <v>-1.3485515333333336</v>
      </c>
      <c r="Q113" s="11">
        <f t="shared" si="11"/>
        <v>0.25105866666666671</v>
      </c>
    </row>
    <row r="114" spans="1:17" x14ac:dyDescent="0.25">
      <c r="A114">
        <v>2013</v>
      </c>
      <c r="B114">
        <v>-2.1275219999999999</v>
      </c>
      <c r="C114">
        <v>0.79825199999999996</v>
      </c>
      <c r="D114">
        <v>-4.8958769999999999E-2</v>
      </c>
      <c r="E114">
        <v>-0.6573388</v>
      </c>
      <c r="F114">
        <v>-1.229189E-2</v>
      </c>
      <c r="G114">
        <v>-1.104044</v>
      </c>
      <c r="H114">
        <v>-0.41047640000000002</v>
      </c>
      <c r="I114">
        <v>0.54133779999999998</v>
      </c>
      <c r="J114">
        <v>0.85282420000000003</v>
      </c>
      <c r="K114">
        <v>-1.5428630000000001</v>
      </c>
      <c r="L114">
        <v>-0.52285879999999996</v>
      </c>
      <c r="M114">
        <v>-1.86111</v>
      </c>
      <c r="N114" s="11">
        <f t="shared" si="8"/>
        <v>-0.23952982</v>
      </c>
      <c r="O114" s="11">
        <f t="shared" si="9"/>
        <v>-0.32439420000000002</v>
      </c>
      <c r="P114" s="11">
        <f t="shared" si="10"/>
        <v>-0.40429920000000003</v>
      </c>
      <c r="Q114" s="11">
        <f t="shared" si="11"/>
        <v>-0.57187296666666665</v>
      </c>
    </row>
    <row r="115" spans="1:17" x14ac:dyDescent="0.25">
      <c r="A115">
        <v>2014</v>
      </c>
      <c r="B115">
        <v>0.3331884</v>
      </c>
      <c r="C115">
        <v>-0.18769730000000001</v>
      </c>
      <c r="D115">
        <v>0.49283890000000002</v>
      </c>
      <c r="E115">
        <v>0.57458569999999998</v>
      </c>
      <c r="F115">
        <v>-2.8938169999999999E-3</v>
      </c>
      <c r="G115">
        <v>-0.2229109</v>
      </c>
      <c r="H115">
        <v>-1.21149E-2</v>
      </c>
      <c r="I115">
        <v>-0.49112660000000002</v>
      </c>
      <c r="J115">
        <v>0.51247299999999996</v>
      </c>
      <c r="K115">
        <v>-8.2920469999999996E-2</v>
      </c>
      <c r="L115">
        <v>0.38298209999999999</v>
      </c>
      <c r="M115">
        <v>-0.88771829999999996</v>
      </c>
      <c r="N115" s="11">
        <f t="shared" si="8"/>
        <v>0.3548435943333334</v>
      </c>
      <c r="O115" s="11">
        <f t="shared" si="9"/>
        <v>-0.24205080000000001</v>
      </c>
      <c r="P115" s="11">
        <f t="shared" si="10"/>
        <v>0.27084487666666662</v>
      </c>
      <c r="Q115" s="11">
        <f t="shared" si="11"/>
        <v>-1.4731194333333333</v>
      </c>
    </row>
    <row r="116" spans="1:17" x14ac:dyDescent="0.25">
      <c r="A116">
        <v>2015</v>
      </c>
      <c r="B116">
        <v>-1.9719709999999999</v>
      </c>
      <c r="C116">
        <v>-1.559669</v>
      </c>
      <c r="D116">
        <v>-2.0592440000000001</v>
      </c>
      <c r="E116">
        <v>-0.73033680000000001</v>
      </c>
      <c r="F116">
        <v>0.48516710000000002</v>
      </c>
      <c r="G116">
        <v>0.1636012</v>
      </c>
      <c r="H116">
        <v>0.73951109999999998</v>
      </c>
      <c r="I116">
        <v>1.0419529999999999</v>
      </c>
      <c r="J116">
        <v>-0.4245313</v>
      </c>
      <c r="K116">
        <v>-0.50317029999999996</v>
      </c>
      <c r="L116">
        <v>-0.79644579999999998</v>
      </c>
      <c r="M116">
        <v>-0.37938680000000002</v>
      </c>
      <c r="N116" s="11">
        <f t="shared" si="8"/>
        <v>-0.76813790000000004</v>
      </c>
      <c r="O116" s="11">
        <f t="shared" si="9"/>
        <v>0.64835509999999996</v>
      </c>
      <c r="P116" s="11">
        <f t="shared" si="10"/>
        <v>-0.5747158</v>
      </c>
      <c r="Q116" s="11">
        <f t="shared" si="11"/>
        <v>-0.77474670000000001</v>
      </c>
    </row>
    <row r="117" spans="1:17" x14ac:dyDescent="0.25">
      <c r="A117">
        <v>2016</v>
      </c>
      <c r="B117">
        <v>-1.7955220000000001</v>
      </c>
      <c r="C117">
        <v>-0.1493313</v>
      </c>
      <c r="D117">
        <v>-2.3127439999999999</v>
      </c>
      <c r="E117">
        <v>0.1013937</v>
      </c>
      <c r="F117">
        <v>-1.0092559999999999</v>
      </c>
      <c r="G117">
        <v>-2.0813030000000001</v>
      </c>
      <c r="H117">
        <v>-0.7721865</v>
      </c>
      <c r="I117">
        <v>0.38734849999999998</v>
      </c>
      <c r="J117">
        <v>-1.304235</v>
      </c>
      <c r="K117">
        <v>1.1487149999999999</v>
      </c>
      <c r="L117">
        <v>-1.0133259999999999</v>
      </c>
      <c r="M117">
        <v>-0.52997340000000004</v>
      </c>
      <c r="N117" s="11">
        <f t="shared" si="8"/>
        <v>-1.0735354333333333</v>
      </c>
      <c r="O117" s="11">
        <f t="shared" si="9"/>
        <v>-0.82204700000000008</v>
      </c>
      <c r="P117" s="11">
        <f t="shared" si="10"/>
        <v>-0.38961533333333337</v>
      </c>
      <c r="Q117" s="11">
        <f t="shared" si="11"/>
        <v>-8.8642566666666658E-2</v>
      </c>
    </row>
    <row r="118" spans="1:17" x14ac:dyDescent="0.25">
      <c r="A118">
        <v>2017</v>
      </c>
      <c r="B118">
        <v>-0.1195708</v>
      </c>
      <c r="C118">
        <v>0.38361650000000003</v>
      </c>
      <c r="D118">
        <v>-0.73599999999999999</v>
      </c>
      <c r="E118">
        <v>-0.37639410000000001</v>
      </c>
      <c r="F118">
        <v>-0.61541999999999997</v>
      </c>
      <c r="G118">
        <v>-0.1255175</v>
      </c>
      <c r="H118">
        <v>-1.120587</v>
      </c>
      <c r="I118">
        <v>1.11911</v>
      </c>
      <c r="J118">
        <v>-1.2737620000000001</v>
      </c>
      <c r="K118">
        <v>1.417969</v>
      </c>
      <c r="L118">
        <v>-0.96706409999999998</v>
      </c>
      <c r="M118">
        <v>0.30639860000000002</v>
      </c>
      <c r="N118" s="11">
        <f t="shared" si="8"/>
        <v>-0.57593803333333327</v>
      </c>
      <c r="O118" s="11">
        <f t="shared" si="9"/>
        <v>-4.2331499999999966E-2</v>
      </c>
      <c r="P118" s="11">
        <f t="shared" si="10"/>
        <v>-0.27428570000000002</v>
      </c>
      <c r="Q118" s="11">
        <f t="shared" si="11"/>
        <v>-0.76168216666666666</v>
      </c>
    </row>
    <row r="119" spans="1:17" x14ac:dyDescent="0.25">
      <c r="A119">
        <v>2018</v>
      </c>
      <c r="B119">
        <v>-0.96650610000000003</v>
      </c>
      <c r="C119">
        <v>-1.6249389999999999</v>
      </c>
      <c r="D119">
        <v>0.76442509999999997</v>
      </c>
      <c r="E119">
        <v>0.64594410000000002</v>
      </c>
      <c r="F119">
        <v>-0.99307179999999995</v>
      </c>
      <c r="G119">
        <v>-0.43957869999999999</v>
      </c>
      <c r="H119">
        <v>-1.0551109999999999</v>
      </c>
      <c r="I119">
        <v>-0.51983100000000004</v>
      </c>
      <c r="J119">
        <v>0.90212000000000003</v>
      </c>
      <c r="K119">
        <v>0.73337819999999998</v>
      </c>
      <c r="L119">
        <v>1.304495</v>
      </c>
      <c r="M119">
        <v>-1.16523</v>
      </c>
      <c r="N119" s="11">
        <f t="shared" si="8"/>
        <v>0.13909913333333332</v>
      </c>
      <c r="O119" s="11">
        <f t="shared" si="9"/>
        <v>-0.67150689999999991</v>
      </c>
      <c r="P119" s="11">
        <f t="shared" si="10"/>
        <v>0.97999773333333329</v>
      </c>
      <c r="Q119" s="11" t="str">
        <f t="shared" si="11"/>
        <v/>
      </c>
    </row>
    <row r="120" spans="1:17" x14ac:dyDescent="0.25">
      <c r="A120">
        <v>2019</v>
      </c>
      <c r="N120" t="str">
        <f t="shared" si="8"/>
        <v/>
      </c>
      <c r="O120" t="str">
        <f t="shared" si="9"/>
        <v/>
      </c>
      <c r="P120" t="str">
        <f t="shared" si="10"/>
        <v/>
      </c>
      <c r="Q120" t="str">
        <f t="shared" si="11"/>
        <v/>
      </c>
    </row>
    <row r="121" spans="1:17" x14ac:dyDescent="0.25">
      <c r="A121">
        <v>2020</v>
      </c>
      <c r="N121" t="str">
        <f t="shared" si="8"/>
        <v/>
      </c>
      <c r="O121" t="str">
        <f t="shared" si="9"/>
        <v/>
      </c>
      <c r="P121" t="str">
        <f t="shared" si="10"/>
        <v/>
      </c>
      <c r="Q121" t="str">
        <f t="shared" si="11"/>
        <v/>
      </c>
    </row>
    <row r="122" spans="1:17" x14ac:dyDescent="0.25">
      <c r="A122">
        <v>2021</v>
      </c>
      <c r="N122" t="str">
        <f t="shared" si="8"/>
        <v/>
      </c>
      <c r="O122" t="str">
        <f t="shared" si="9"/>
        <v/>
      </c>
      <c r="P122" t="str">
        <f t="shared" si="10"/>
        <v/>
      </c>
      <c r="Q122" t="str">
        <f t="shared" si="11"/>
        <v/>
      </c>
    </row>
    <row r="123" spans="1:17" x14ac:dyDescent="0.25">
      <c r="A123">
        <v>2022</v>
      </c>
      <c r="N123" t="str">
        <f>IF(AND(ISNUMBER(D123),ISNUMBER(E123),ISNUMBER(F123)),AVERAGE(D123:F123),"")</f>
        <v/>
      </c>
      <c r="O123" t="str">
        <f>IF(AND(ISNUMBER(G123),ISNUMBER(H123),ISNUMBER(I123)),AVERAGE(G123:I123),"")</f>
        <v/>
      </c>
      <c r="P123" t="str">
        <f>IF(AND(ISNUMBER(J123),ISNUMBER(K123),ISNUMBER(L123)),AVERAGE(J123:L123),"")</f>
        <v/>
      </c>
      <c r="Q123" t="str">
        <f>IF(AND(ISNUMBER(M123),ISNUMBER(B124),ISNUMBER(C124)),AVERAGE(M123,B124:C124),"")</f>
        <v/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Correl betwen param_HID</vt:lpstr>
      <vt:lpstr>Correl betwen param_HID1</vt:lpstr>
      <vt:lpstr>Tmp_Bariloche</vt:lpstr>
      <vt:lpstr>Tmp_era5_t2</vt:lpstr>
      <vt:lpstr>Tmp max_CRUTS</vt:lpstr>
      <vt:lpstr>Precip_Bariloche</vt:lpstr>
      <vt:lpstr>Precip_era5</vt:lpstr>
      <vt:lpstr>Precip_CRUTS</vt:lpstr>
      <vt:lpstr>scPDSI</vt:lpstr>
      <vt:lpstr>scPDSI_CRU</vt:lpstr>
      <vt:lpstr>SPEI1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Mundo</dc:creator>
  <cp:lastModifiedBy>Georg von Arx</cp:lastModifiedBy>
  <dcterms:created xsi:type="dcterms:W3CDTF">2020-08-03T12:54:37Z</dcterms:created>
  <dcterms:modified xsi:type="dcterms:W3CDTF">2024-05-06T14:34:01Z</dcterms:modified>
</cp:coreProperties>
</file>